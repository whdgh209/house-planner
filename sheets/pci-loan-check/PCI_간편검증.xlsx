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CI_간편검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원&quot;"/>
    <numFmt numFmtId="165" formatCode="0&quot;년&quot;"/>
    <numFmt numFmtId="166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7F7F7F"/>
      <sz val="10"/>
    </font>
    <font>
      <name val="Arial"/>
    </font>
    <font>
      <name val="Arial"/>
      <b val="1"/>
    </font>
    <font>
      <name val="Arial"/>
      <color rgb="007F7F7F"/>
      <sz val="9"/>
    </font>
    <font>
      <name val="Arial"/>
      <b val="1"/>
      <sz val="12"/>
    </font>
    <font>
      <name val="Arial"/>
      <b val="1"/>
      <sz val="11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" fillId="3" borderId="0" pivotButton="0" quotePrefix="0" xfId="0"/>
    <xf numFmtId="0" fontId="4" fillId="0" borderId="0" pivotButton="0" quotePrefix="0" xfId="0"/>
    <xf numFmtId="164" fontId="6" fillId="4" borderId="1" pivotButton="0" quotePrefix="0" xfId="0"/>
    <xf numFmtId="0" fontId="5" fillId="0" borderId="0" pivotButton="0" quotePrefix="0" xfId="0"/>
    <xf numFmtId="165" fontId="6" fillId="4" borderId="1" pivotButton="0" quotePrefix="0" xfId="0"/>
    <xf numFmtId="166" fontId="6" fillId="4" borderId="1" pivotButton="0" quotePrefix="0" xfId="0"/>
    <xf numFmtId="0" fontId="3" fillId="0" borderId="0" pivotButton="0" quotePrefix="0" xfId="0"/>
    <xf numFmtId="164" fontId="3" fillId="5" borderId="0" pivotButton="0" quotePrefix="0" xfId="0"/>
    <xf numFmtId="164" fontId="7" fillId="6" borderId="1" pivotButton="0" quotePrefix="0" xfId="0"/>
    <xf numFmtId="166" fontId="7" fillId="6" borderId="1" pivotButton="0" quotePrefix="0" xfId="0"/>
    <xf numFmtId="0" fontId="8" fillId="6" borderId="1" pivotButton="0" quotePrefix="0" xfId="0"/>
    <xf numFmtId="164" fontId="4" fillId="7" borderId="0" pivotButton="0" quotePrefix="0" xfId="0"/>
    <xf numFmtId="0" fontId="4" fillId="7" borderId="0" pivotButton="0" quotePrefix="0" xfId="0"/>
    <xf numFmtId="0" fontId="7" fillId="6" borderId="1" pivotButton="0" quotePrefix="0" xfId="0"/>
    <xf numFmtId="0" fontId="4" fillId="7" borderId="0" applyAlignment="1" pivotButton="0" quotePrefix="0" xfId="0">
      <alignment vertical="top" wrapText="1"/>
    </xf>
    <xf numFmtId="0" fontId="4" fillId="5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3" fontId="0" fillId="0" borderId="1" pivotButton="0" quotePrefix="0" xfId="0"/>
    <xf numFmtId="166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dxfs count="6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PCI 간편검증</author>
  </authors>
  <commentList>
    <comment ref="B5" authorId="0" shapeId="0">
      <text>
        <t>급여명세서의 실지급액(공제 후)을 그대로 넣으세요. 4대보험·소득세를 따로 계산할 필요가 없습니다.</t>
      </text>
    </comment>
    <comment ref="B6" authorId="0" shapeId="0">
      <text>
        <t>세후 기준입니다. 세전 금액만 안다면 대략 × 0.6 정도로 넣으세요 (과표 35% 구간 + 지방소득세 가정).</t>
      </text>
    </comment>
    <comment ref="B12" authorId="0" shapeId="0">
      <text>
        <t>0으로 두면 급여가 전혀 오르지 않는다고 보고 계산합니다. 국세청에 제시할 자료라면 0이 가장 안전합니다.</t>
      </text>
    </comment>
    <comment ref="B26" authorId="0" shapeId="0">
      <text>
        <t>상속세 및 증여세법 시행령 제31조의4 — 적정이자율 연 4.6%. 무상대여 이익이 연 1천만원 이상이면 전액이 증여재산가액.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46" customWidth="1" min="3" max="3"/>
    <col width="14" customWidth="1" min="4" max="4"/>
  </cols>
  <sheetData>
    <row r="1" ht="36" customHeight="1">
      <c r="A1" s="1" t="inlineStr">
        <is>
          <t>개인 간 차용 상환능력 간편 검증</t>
        </is>
      </c>
    </row>
    <row r="2">
      <c r="A2" s="2" t="inlineStr">
        <is>
          <t>노란 칸 8개만 채우면 끝. 나머지는 전부 자동입니다.</t>
        </is>
      </c>
    </row>
    <row r="4">
      <c r="A4" s="3" t="inlineStr">
        <is>
          <t>■ 입력 — 이 칸만 채우세요</t>
        </is>
      </c>
      <c r="B4" s="3" t="n"/>
      <c r="C4" s="3" t="n"/>
    </row>
    <row r="5">
      <c r="A5" s="4" t="inlineStr">
        <is>
          <t>① 월 실수령액 (통장 입금액)</t>
        </is>
      </c>
      <c r="B5" s="5" t="n">
        <v>3800000</v>
      </c>
      <c r="C5" s="6" t="inlineStr">
        <is>
          <t>급여명세서 실지급액. 세금·4대보험 다 뗀 금액</t>
        </is>
      </c>
    </row>
    <row r="6">
      <c r="A6" s="4" t="inlineStr">
        <is>
          <t>② 연간 성과급 실수령액</t>
        </is>
      </c>
      <c r="B6" s="5" t="n">
        <v>6000000</v>
      </c>
      <c r="C6" s="6" t="inlineStr">
        <is>
          <t>없으면 0. 세후 기준 — 모르면 세전 × 0.6</t>
        </is>
      </c>
    </row>
    <row r="7">
      <c r="A7" s="4" t="inlineStr">
        <is>
          <t>③ 월 대출 상환액 합계</t>
        </is>
      </c>
      <c r="B7" s="5" t="n">
        <v>2000000</v>
      </c>
      <c r="C7" s="6" t="inlineStr">
        <is>
          <t>주담대 + 신용 + 회사대출 … 전부 더한 값</t>
        </is>
      </c>
    </row>
    <row r="8">
      <c r="A8" s="4" t="inlineStr">
        <is>
          <t>④ 월 생활비 합계</t>
        </is>
      </c>
      <c r="B8" s="5" t="n">
        <v>1500000</v>
      </c>
      <c r="C8" s="6" t="inlineStr">
        <is>
          <t>고정비 + 변동비. 최근 3개월 카드값 평균</t>
        </is>
      </c>
    </row>
    <row r="9">
      <c r="A9" s="4" t="inlineStr">
        <is>
          <t>⑤ 차용 원금</t>
        </is>
      </c>
      <c r="B9" s="5" t="n">
        <v>200000000</v>
      </c>
      <c r="C9" s="6" t="inlineStr">
        <is>
          <t>빌리려는 금액</t>
        </is>
      </c>
    </row>
    <row r="10">
      <c r="A10" s="4" t="inlineStr">
        <is>
          <t>⑥ 차용 기간 (년)</t>
        </is>
      </c>
      <c r="B10" s="7" t="n">
        <v>5</v>
      </c>
      <c r="C10" s="6" t="inlineStr">
        <is>
          <t>1~10년</t>
        </is>
      </c>
    </row>
    <row r="11">
      <c r="A11" s="4" t="inlineStr">
        <is>
          <t>⑦ 약정 이자율 (연)</t>
        </is>
      </c>
      <c r="B11" s="8" t="n">
        <v>0</v>
      </c>
      <c r="C11" s="6" t="inlineStr">
        <is>
          <t>무이자면 0%</t>
        </is>
      </c>
    </row>
    <row r="12">
      <c r="A12" s="4" t="inlineStr">
        <is>
          <t>⑧ 연간 급여 상승률</t>
        </is>
      </c>
      <c r="B12" s="8" t="n">
        <v>0</v>
      </c>
      <c r="C12" s="6" t="inlineStr">
        <is>
          <t>모르면 0으로 두세요 (가장 보수적)</t>
        </is>
      </c>
    </row>
    <row r="14">
      <c r="A14" s="3" t="inlineStr">
        <is>
          <t>■ 결과</t>
        </is>
      </c>
      <c r="B14" s="3" t="n"/>
      <c r="C14" s="3" t="n"/>
    </row>
    <row r="15">
      <c r="A15" s="9" t="inlineStr">
        <is>
          <t>연간 세후 소득</t>
        </is>
      </c>
      <c r="B15" s="10">
        <f>$B$5*12+$B$6</f>
        <v/>
      </c>
    </row>
    <row r="16">
      <c r="A16" s="9" t="inlineStr">
        <is>
          <t>연간 지출 (대출+생활비+차용이자)</t>
        </is>
      </c>
      <c r="B16" s="10">
        <f>$B$7*12+$B$8*12+ROUND($B$9*$B$11,0)</f>
        <v/>
      </c>
    </row>
    <row r="17">
      <c r="A17" s="9" t="inlineStr">
        <is>
          <t>연간 잉여 (저축 가능액)</t>
        </is>
      </c>
      <c r="B17" s="10">
        <f>$B$15-$B$16</f>
        <v/>
      </c>
      <c r="C17" s="6" t="inlineStr">
        <is>
          <t>음수면 애초에 상환 불가</t>
        </is>
      </c>
    </row>
    <row r="18">
      <c r="A18" s="4" t="inlineStr">
        <is>
          <t>차용기간 누적 잉여</t>
        </is>
      </c>
      <c r="B18" s="11">
        <f>INDEX($C$35:$C$44,$B$10)</f>
        <v/>
      </c>
      <c r="C18" s="6" t="inlineStr">
        <is>
          <t>아래 연도별 표 기준</t>
        </is>
      </c>
    </row>
    <row r="19">
      <c r="A19" s="4" t="inlineStr">
        <is>
          <t>만기 상환 버퍼율</t>
        </is>
      </c>
      <c r="B19" s="12">
        <f>IFERROR($B$18/$B$9,"")</f>
        <v/>
      </c>
      <c r="C19" s="6" t="inlineStr">
        <is>
          <t>100% = 딱 맞음 · 120% 이상이어야 안전</t>
        </is>
      </c>
    </row>
    <row r="20" ht="28" customHeight="1">
      <c r="A20" s="4" t="inlineStr">
        <is>
          <t>★ 최종 판정</t>
        </is>
      </c>
      <c r="B20" s="13">
        <f>IF(AND($B$18&gt;=$B$9*1.2,$B$21&gt;=0),"✅ 상환 여유 충분",IF(AND($B$18&gt;=$B$9,$B$21&gt;=0),"⚠ 상환 가능 (주의 요망)","❌ 상환 능력 부족 (증여 추정 위험)"))</f>
        <v/>
      </c>
    </row>
    <row r="21">
      <c r="A21" s="9" t="inlineStr">
        <is>
          <t>월 수지 (성과급 빼고)</t>
        </is>
      </c>
      <c r="B21" s="10">
        <f>$B$5-$B$7-$B$8-ROUND($B$9*$B$11,0)/12</f>
        <v/>
      </c>
      <c r="C21" s="6" t="inlineStr">
        <is>
          <t>성과급 없이도 흑자여야 안전</t>
        </is>
      </c>
    </row>
    <row r="23">
      <c r="A23" s="3" t="inlineStr">
        <is>
          <t>■ 증여세 체크</t>
        </is>
      </c>
      <c r="B23" s="3" t="n"/>
      <c r="C23" s="3" t="n"/>
    </row>
    <row r="24">
      <c r="A24" s="9" t="inlineStr">
        <is>
          <t>무상대여 이익 (연)</t>
        </is>
      </c>
      <c r="B24" s="14">
        <f>MAX(0,ROUND($B$9*0.046,0)-ROUND($B$9*$B$11,0))</f>
        <v/>
      </c>
      <c r="C24" s="6" t="inlineStr">
        <is>
          <t>법정 적정이자(4.6%) − 실제 약정이자</t>
        </is>
      </c>
    </row>
    <row r="25">
      <c r="A25" s="9" t="inlineStr">
        <is>
          <t>증여세 과세 여부</t>
        </is>
      </c>
      <c r="B25" s="15">
        <f>IF($B$24&gt;=10000000,"❌ 과세 대상 — 이익 전액이 증여재산가액","✅ 비과세 (연 1,000만원 미만)")</f>
        <v/>
      </c>
      <c r="C25" s="6" t="inlineStr">
        <is>
          <t>1,000만원 이상이면 초과분 아닌 전액 과세</t>
        </is>
      </c>
    </row>
    <row r="26">
      <c r="A26" s="9" t="inlineStr">
        <is>
          <t>무이자로 빌릴 수 있는 최대 원금</t>
        </is>
      </c>
      <c r="B26" s="10" t="n">
        <v>217391304</v>
      </c>
      <c r="C26" s="6" t="inlineStr">
        <is>
          <t>1,000만원 ÷ 4.6% — 고정값</t>
        </is>
      </c>
    </row>
    <row r="28">
      <c r="A28" s="3" t="inlineStr">
        <is>
          <t>■ 그래서 어떻게 하면 되나</t>
        </is>
      </c>
      <c r="B28" s="3" t="n"/>
      <c r="C28" s="3" t="n"/>
    </row>
    <row r="29">
      <c r="A29" s="4" t="inlineStr">
        <is>
          <t>이 조건에서 안전한 최대 차용액</t>
        </is>
      </c>
      <c r="B29" s="11">
        <f>ROUND($B$18/1.2,-6)</f>
        <v/>
      </c>
      <c r="C29" s="6" t="inlineStr">
        <is>
          <t>백만원 단위 내림 — 여유 충분이 나오는 금액</t>
        </is>
      </c>
    </row>
    <row r="30">
      <c r="A30" s="4" t="inlineStr">
        <is>
          <t>원금을 다 갚으려면 필요한 기간</t>
        </is>
      </c>
      <c r="B30" s="16">
        <f>IF(COUNTIF($C$35:$C$44,"&gt;="&amp;$B$9)=0,"10년 안에는 불가",11-COUNTIF($C$35:$C$44,"&gt;="&amp;$B$9))</f>
        <v/>
      </c>
      <c r="C30" s="6" t="inlineStr">
        <is>
          <t>누적 잉여가 원금을 넘어서는 연차</t>
        </is>
      </c>
    </row>
    <row r="31" ht="100" customHeight="1">
      <c r="A31" s="9" t="inlineStr">
        <is>
          <t>한줄 진단</t>
        </is>
      </c>
      <c r="B31" s="17">
        <f>IF($B$24&gt;=10000000,"⚠ 무상대여 이익 "&amp;TEXT($B$24,"#,##0")&amp;"원이 연 1,000만원 이상 → 초과분이 아닌 이익 전액이 증여재산가액으로 과세될 수 있음."&amp;CHAR(10),"")&amp;IF(AND($B$11=0,$B$9&gt;217391304),"⚠ 무이자로는 217,391,304원까지만 안전. 원금을 낮추거나 최소한의 이자를 약정하세요."&amp;CHAR(10),"")&amp;IF($B$21&lt;0,"⚠ 성과급을 빼면 월 "&amp;TEXT(ABS($B$21),"#,##0")&amp;"원 적자 → 상환 재원을 변동 성과급에 의존. 소명 시 가장 취약한 지점."&amp;CHAR(10),"")&amp;IF($B$18&lt;$B$9,"⚠ 이 조건이면 "&amp;TEXT(ROUND($B$18/1.2,-6),"#,##0")&amp;"원까지가 안전선. 원금을 줄이거나 기간을 늘리세요."&amp;CHAR(10),"")&amp;IF($B$11&gt;0,"ℹ 이자 지급 시 27.5%를 원천징수해 다음 달 10일까지 납부해야 차용으로 인정됨."&amp;CHAR(10),"")&amp;"ℹ 차용증(확정일자) + 원금 전액 계좌이체 + 매달 상환 이체기록, 이 셋이 없으면 숫자가 좋아도 소용없습니다."</f>
        <v/>
      </c>
    </row>
    <row r="33">
      <c r="A33" s="3" t="inlineStr">
        <is>
          <t>■ 연도별 누적  [자동 — 건드릴 것 없음]</t>
        </is>
      </c>
      <c r="B33" s="3" t="n"/>
      <c r="C33" s="3" t="n"/>
      <c r="D33" s="3" t="n"/>
    </row>
    <row r="34">
      <c r="A34" s="18" t="inlineStr">
        <is>
          <t>연차</t>
        </is>
      </c>
      <c r="B34" s="18" t="inlineStr">
        <is>
          <t>연간 잉여</t>
        </is>
      </c>
      <c r="C34" s="18" t="inlineStr">
        <is>
          <t>누적 잉여</t>
        </is>
      </c>
      <c r="D34" s="18" t="inlineStr">
        <is>
          <t>원금 대비</t>
        </is>
      </c>
    </row>
    <row r="35">
      <c r="A35" s="19" t="n">
        <v>1</v>
      </c>
      <c r="B35" s="20">
        <f>ROUND($B$15*(1+$B$12)^(1-1),0)-$B$16</f>
        <v/>
      </c>
      <c r="C35" s="20">
        <f>B35</f>
        <v/>
      </c>
      <c r="D35" s="21">
        <f>IFERROR(C35/$B$9,"")</f>
        <v/>
      </c>
    </row>
    <row r="36">
      <c r="A36" s="19" t="n">
        <v>2</v>
      </c>
      <c r="B36" s="20">
        <f>ROUND($B$15*(1+$B$12)^(2-1),0)-$B$16</f>
        <v/>
      </c>
      <c r="C36" s="20">
        <f>C35+B36</f>
        <v/>
      </c>
      <c r="D36" s="21">
        <f>IFERROR(C36/$B$9,"")</f>
        <v/>
      </c>
    </row>
    <row r="37">
      <c r="A37" s="19" t="n">
        <v>3</v>
      </c>
      <c r="B37" s="20">
        <f>ROUND($B$15*(1+$B$12)^(3-1),0)-$B$16</f>
        <v/>
      </c>
      <c r="C37" s="20">
        <f>C36+B37</f>
        <v/>
      </c>
      <c r="D37" s="21">
        <f>IFERROR(C37/$B$9,"")</f>
        <v/>
      </c>
    </row>
    <row r="38">
      <c r="A38" s="19" t="n">
        <v>4</v>
      </c>
      <c r="B38" s="20">
        <f>ROUND($B$15*(1+$B$12)^(4-1),0)-$B$16</f>
        <v/>
      </c>
      <c r="C38" s="20">
        <f>C37+B38</f>
        <v/>
      </c>
      <c r="D38" s="21">
        <f>IFERROR(C38/$B$9,"")</f>
        <v/>
      </c>
    </row>
    <row r="39">
      <c r="A39" s="19" t="n">
        <v>5</v>
      </c>
      <c r="B39" s="20">
        <f>ROUND($B$15*(1+$B$12)^(5-1),0)-$B$16</f>
        <v/>
      </c>
      <c r="C39" s="20">
        <f>C38+B39</f>
        <v/>
      </c>
      <c r="D39" s="21">
        <f>IFERROR(C39/$B$9,"")</f>
        <v/>
      </c>
    </row>
    <row r="40">
      <c r="A40" s="19" t="n">
        <v>6</v>
      </c>
      <c r="B40" s="20">
        <f>ROUND($B$15*(1+$B$12)^(6-1),0)-$B$16</f>
        <v/>
      </c>
      <c r="C40" s="20">
        <f>C39+B40</f>
        <v/>
      </c>
      <c r="D40" s="21">
        <f>IFERROR(C40/$B$9,"")</f>
        <v/>
      </c>
    </row>
    <row r="41">
      <c r="A41" s="19" t="n">
        <v>7</v>
      </c>
      <c r="B41" s="20">
        <f>ROUND($B$15*(1+$B$12)^(7-1),0)-$B$16</f>
        <v/>
      </c>
      <c r="C41" s="20">
        <f>C40+B41</f>
        <v/>
      </c>
      <c r="D41" s="21">
        <f>IFERROR(C41/$B$9,"")</f>
        <v/>
      </c>
    </row>
    <row r="42">
      <c r="A42" s="19" t="n">
        <v>8</v>
      </c>
      <c r="B42" s="20">
        <f>ROUND($B$15*(1+$B$12)^(8-1),0)-$B$16</f>
        <v/>
      </c>
      <c r="C42" s="20">
        <f>C41+B42</f>
        <v/>
      </c>
      <c r="D42" s="21">
        <f>IFERROR(C42/$B$9,"")</f>
        <v/>
      </c>
    </row>
    <row r="43">
      <c r="A43" s="19" t="n">
        <v>9</v>
      </c>
      <c r="B43" s="20">
        <f>ROUND($B$15*(1+$B$12)^(9-1),0)-$B$16</f>
        <v/>
      </c>
      <c r="C43" s="20">
        <f>C42+B43</f>
        <v/>
      </c>
      <c r="D43" s="21">
        <f>IFERROR(C43/$B$9,"")</f>
        <v/>
      </c>
    </row>
    <row r="44">
      <c r="A44" s="19" t="n">
        <v>10</v>
      </c>
      <c r="B44" s="20">
        <f>ROUND($B$15*(1+$B$12)^(10-1),0)-$B$16</f>
        <v/>
      </c>
      <c r="C44" s="20">
        <f>C43+B44</f>
        <v/>
      </c>
      <c r="D44" s="21">
        <f>IFERROR(C44/$B$9,"")</f>
        <v/>
      </c>
    </row>
    <row r="45">
      <c r="A45" s="6" t="inlineStr">
        <is>
          <t>초록색으로 칠해진 줄 = 그 해에 원금을 다 갚을 수 있다는 뜻</t>
        </is>
      </c>
    </row>
    <row r="46">
      <c r="A46" s="6" t="inlineStr">
        <is>
          <t>연간 잉여는 소득에만 상승률을 적용하고 지출은 고정으로 둡니다 (보수적 추정).</t>
        </is>
      </c>
    </row>
    <row r="48">
      <c r="A48" s="22" t="inlineStr">
        <is>
          <t>※ 사전 점검용 추산입니다. 실제 과세 판단은 개별 사실관계에 좌우되므로 실행 전 세무대리인 확인을 권합니다.</t>
        </is>
      </c>
    </row>
  </sheetData>
  <mergeCells count="3">
    <mergeCell ref="A1:C1"/>
    <mergeCell ref="A48:C48"/>
    <mergeCell ref="A2:C2"/>
  </mergeCells>
  <conditionalFormatting sqref="B20">
    <cfRule type="expression" priority="1" dxfId="0">
      <formula>ISNUMBER(SEARCH("충분",B20))</formula>
    </cfRule>
    <cfRule type="expression" priority="2" dxfId="1">
      <formula>ISNUMBER(SEARCH("주의",B20))</formula>
    </cfRule>
    <cfRule type="expression" priority="3" dxfId="2">
      <formula>ISNUMBER(SEARCH("부족",B20))</formula>
    </cfRule>
  </conditionalFormatting>
  <conditionalFormatting sqref="B19">
    <cfRule type="cellIs" priority="4" operator="greaterThanOrEqual" dxfId="3">
      <formula>1.2</formula>
    </cfRule>
    <cfRule type="cellIs" priority="5" operator="lessThan" dxfId="4">
      <formula>1</formula>
    </cfRule>
  </conditionalFormatting>
  <conditionalFormatting sqref="B17">
    <cfRule type="cellIs" priority="6" operator="lessThan" dxfId="5">
      <formula>0</formula>
    </cfRule>
  </conditionalFormatting>
  <conditionalFormatting sqref="B21">
    <cfRule type="cellIs" priority="7" operator="lessThan" dxfId="5">
      <formula>0</formula>
    </cfRule>
  </conditionalFormatting>
  <conditionalFormatting sqref="B25">
    <cfRule type="expression" priority="8" dxfId="2">
      <formula>ISNUMBER(SEARCH("과세 대상",B25))</formula>
    </cfRule>
  </conditionalFormatting>
  <conditionalFormatting sqref="A35:D44">
    <cfRule type="expression" priority="9" dxfId="3">
      <formula>$C35&gt;=$B$9</formula>
    </cfRule>
  </conditionalFormatting>
  <dataValidations count="3">
    <dataValidation sqref="B5 B6 B7 B8 B9" showDropDown="0" showInputMessage="0" showErrorMessage="0" allowBlank="0" error="0 이상의 숫자를 입력하세요." type="decimal" operator="greaterThanOrEqual">
      <formula1>0</formula1>
    </dataValidation>
    <dataValidation sqref="B10" showDropDown="0" showInputMessage="0" showErrorMessage="0" allowBlank="0" error="1~10년 사이로 입력하세요." type="whole" operator="between">
      <formula1>1</formula1>
      <formula2>10</formula2>
    </dataValidation>
    <dataValidation sqref="B11 B12" showDropDown="0" showInputMessage="0" showErrorMessage="0" allowBlank="0" error="0% ~ 100% 사이로 입력하세요.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2026-09-15T13:03:53Z</dcterms:created>
  <dcterms:modified xsi:type="dcterms:W3CDTF">2026-09-15T13:03:53Z</dcterms:modified>
</cp:coreProperties>
</file>