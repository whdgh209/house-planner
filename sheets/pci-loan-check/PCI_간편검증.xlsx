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I_간편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%"/>
    <numFmt numFmtId="166" formatCode="0&quot;년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7F7F7F"/>
      <sz val="10"/>
    </font>
    <font>
      <name val="Arial"/>
      <b val="1"/>
    </font>
    <font>
      <name val="Arial"/>
    </font>
    <font>
      <name val="Arial"/>
      <color rgb="007F7F7F"/>
      <sz val="9"/>
    </font>
    <font>
      <name val="Arial"/>
      <b val="1"/>
      <sz val="12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3" fillId="0" borderId="0" pivotButton="0" quotePrefix="0" xfId="0"/>
    <xf numFmtId="164" fontId="6" fillId="4" borderId="1" pivotButton="0" quotePrefix="0" xfId="0"/>
    <xf numFmtId="0" fontId="5" fillId="0" borderId="0" pivotButton="0" quotePrefix="0" xfId="0"/>
    <xf numFmtId="165" fontId="6" fillId="4" borderId="1" pivotButton="0" quotePrefix="0" xfId="0"/>
    <xf numFmtId="166" fontId="6" fillId="4" borderId="1" pivotButton="0" quotePrefix="0" xfId="0"/>
    <xf numFmtId="0" fontId="4" fillId="0" borderId="0" pivotButton="0" quotePrefix="0" xfId="0"/>
    <xf numFmtId="164" fontId="4" fillId="5" borderId="0" pivotButton="0" quotePrefix="0" xfId="0"/>
    <xf numFmtId="0" fontId="0" fillId="5" borderId="0" pivotButton="0" quotePrefix="0" xfId="0"/>
    <xf numFmtId="0" fontId="3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3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8" fillId="6" borderId="1" pivotButton="0" quotePrefix="0" xfId="0"/>
    <xf numFmtId="164" fontId="3" fillId="7" borderId="0" pivotButton="0" quotePrefix="0" xfId="0"/>
    <xf numFmtId="0" fontId="0" fillId="7" borderId="0" pivotButton="0" quotePrefix="0" xfId="0"/>
    <xf numFmtId="0" fontId="3" fillId="7" borderId="0" pivotButton="0" quotePrefix="0" xfId="0"/>
    <xf numFmtId="165" fontId="3" fillId="7" borderId="0" pivotButton="0" quotePrefix="0" xfId="0"/>
    <xf numFmtId="0" fontId="3" fillId="7" borderId="0" applyAlignment="1" pivotButton="0" quotePrefix="0" xfId="0">
      <alignment vertical="top" wrapText="1"/>
    </xf>
    <xf numFmtId="0" fontId="3" fillId="8" borderId="0" pivotButton="0" quotePrefix="0" xfId="0"/>
    <xf numFmtId="0" fontId="9" fillId="0" borderId="0" pivotButton="0" quotePrefix="0" xfId="0"/>
    <xf numFmtId="0" fontId="3" fillId="5" borderId="1" applyAlignment="1" pivotButton="0" quotePrefix="0" xfId="0">
      <alignment horizontal="center" wrapText="1"/>
    </xf>
    <xf numFmtId="166" fontId="3" fillId="0" borderId="0" applyAlignment="1" pivotButton="0" quotePrefix="0" xfId="0">
      <alignment horizontal="center"/>
    </xf>
    <xf numFmtId="3" fontId="0" fillId="0" borderId="1" pivotButton="0" quotePrefix="0" xfId="0"/>
    <xf numFmtId="165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dxfs count="10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  <sz val="14"/>
      </font>
      <fill>
        <patternFill patternType="solid">
          <fgColor rgb="00C6EFCE"/>
          <bgColor rgb="00C6EFCE"/>
        </patternFill>
      </fill>
    </dxf>
    <dxf>
      <font>
        <b val="1"/>
        <color rgb="009C6500"/>
        <sz val="14"/>
      </font>
      <fill>
        <patternFill patternType="solid">
          <fgColor rgb="00FFEB9C"/>
          <bgColor rgb="00FFEB9C"/>
        </patternFill>
      </fill>
    </dxf>
    <dxf>
      <font>
        <b val="1"/>
        <color rgb="009C0006"/>
        <sz val="14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9C0006"/>
      </font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PCI 간편검증</author>
  </authors>
  <commentList>
    <comment ref="B5" authorId="0" shapeId="0">
      <text>
        <t>급여명세서의 실지급액(공제 후)을 그대로 넣으세요. 4대보험·소득세를 따로 계산할 필요가 없습니다.</t>
      </text>
    </comment>
    <comment ref="B7" authorId="0" shapeId="0">
      <text>
        <t>성과급은 금액이 아니라 월 실수령액 대비 비율로 넣습니다. 예: 월 540만원에 성과급이 월 135만원 수준이면 25%. 비율로 두면 급여가 오를 때 성과급도 같이 오릅니다.</t>
      </text>
    </comment>
    <comment ref="B14" authorId="0" shapeId="0">
      <text>
        <t>월급과 성과급 양쪽에 적용됩니다. 0으로 두면 급여가 전혀 오르지 않는다고 보고 계산합니다 — 국세청에 제시할 자료라면 0이 가장 안전합니다.</t>
      </text>
    </comment>
    <comment ref="B38" authorId="0" shapeId="0">
      <text>
        <t>상속세 및 증여세법 시행령 제31조의4 — 적정이자율 연 4.6%. 무상대여 이익이 연 1천만원 이상이면 전액이 증여재산가액.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50" customWidth="1" min="5" max="5"/>
  </cols>
  <sheetData>
    <row r="1" ht="36" customHeight="1">
      <c r="A1" s="1" t="inlineStr">
        <is>
          <t>개인 간 차용 상환능력 간편 검증</t>
        </is>
      </c>
    </row>
    <row r="2">
      <c r="A2" s="2" t="inlineStr">
        <is>
          <t>노란 칸만 채우면 끝. 성과급은 금액이 아니라 월 실수령액 대비 비율로 넣습니다.</t>
        </is>
      </c>
    </row>
    <row r="4">
      <c r="A4" s="3" t="inlineStr">
        <is>
          <t>■ 입력 — 이 칸만 채우세요</t>
        </is>
      </c>
      <c r="B4" s="3" t="n"/>
      <c r="C4" s="3" t="n"/>
      <c r="D4" s="3" t="n"/>
      <c r="E4" s="3" t="n"/>
    </row>
    <row r="5">
      <c r="A5" s="4" t="inlineStr">
        <is>
          <t>① 월 실수령액 (통장 입금액)</t>
        </is>
      </c>
      <c r="B5" s="5" t="n">
        <v>5400000</v>
      </c>
      <c r="E5" s="6" t="inlineStr">
        <is>
          <t>급여명세서 실지급액. 세금·4대보험 다 뗀 금액</t>
        </is>
      </c>
    </row>
    <row r="6">
      <c r="A6" s="4" t="inlineStr">
        <is>
          <t>② 성과급 비율 — 최소</t>
        </is>
      </c>
      <c r="B6" s="7" t="n">
        <v>0</v>
      </c>
      <c r="E6" s="6" t="inlineStr">
        <is>
          <t>월 실수령액 대비. 최악의 해 기준 (보통 0%)</t>
        </is>
      </c>
    </row>
    <row r="7">
      <c r="A7" s="4" t="inlineStr">
        <is>
          <t>③ 성과급 비율 — 예상</t>
        </is>
      </c>
      <c r="B7" s="7" t="n">
        <v>0.25</v>
      </c>
      <c r="E7" s="6" t="inlineStr">
        <is>
          <t>평년에 기대하는 수준</t>
        </is>
      </c>
    </row>
    <row r="8">
      <c r="A8" s="4" t="inlineStr">
        <is>
          <t>④ 성과급 비율 — 최대</t>
        </is>
      </c>
      <c r="B8" s="7" t="n">
        <v>0.5</v>
      </c>
      <c r="E8" s="6" t="inlineStr">
        <is>
          <t>가장 잘 나온 해 기준</t>
        </is>
      </c>
    </row>
    <row r="9">
      <c r="A9" s="4" t="inlineStr">
        <is>
          <t>⑤ 월 대출 상환액 합계</t>
        </is>
      </c>
      <c r="B9" s="5" t="n">
        <v>5650000</v>
      </c>
      <c r="E9" s="6" t="inlineStr">
        <is>
          <t>주담대 + 신용 + 회사대출 … 전부 더한 값</t>
        </is>
      </c>
    </row>
    <row r="10">
      <c r="A10" s="4" t="inlineStr">
        <is>
          <t>⑥ 월 생활비 합계</t>
        </is>
      </c>
      <c r="B10" s="5" t="n">
        <v>1000000</v>
      </c>
      <c r="E10" s="6" t="inlineStr">
        <is>
          <t>고정비 + 변동비. 최근 3개월 카드값 평균</t>
        </is>
      </c>
    </row>
    <row r="11">
      <c r="A11" s="4" t="inlineStr">
        <is>
          <t>⑦ 차용 원금</t>
        </is>
      </c>
      <c r="B11" s="5" t="n">
        <v>217000000</v>
      </c>
      <c r="E11" s="6" t="inlineStr">
        <is>
          <t>빌리려는 금액</t>
        </is>
      </c>
    </row>
    <row r="12">
      <c r="A12" s="4" t="inlineStr">
        <is>
          <t>⑧ 차용 기간 (년)</t>
        </is>
      </c>
      <c r="B12" s="8" t="n">
        <v>10</v>
      </c>
      <c r="E12" s="6" t="inlineStr">
        <is>
          <t>1~10년</t>
        </is>
      </c>
    </row>
    <row r="13">
      <c r="A13" s="4" t="inlineStr">
        <is>
          <t>⑨ 약정 이자율 (연)</t>
        </is>
      </c>
      <c r="B13" s="7" t="n">
        <v>0</v>
      </c>
      <c r="E13" s="6" t="inlineStr">
        <is>
          <t>무이자면 0%</t>
        </is>
      </c>
    </row>
    <row r="14">
      <c r="A14" s="4" t="inlineStr">
        <is>
          <t>⑩ 연간 급여 상승률</t>
        </is>
      </c>
      <c r="B14" s="7" t="n">
        <v>0.05</v>
      </c>
      <c r="E14" s="6" t="inlineStr">
        <is>
          <t>월급과 성과급에 함께 적용됩니다</t>
        </is>
      </c>
    </row>
    <row r="16">
      <c r="A16" s="9" t="inlineStr">
        <is>
          <t>연간 지출 (대출 + 생활비 + 차용이자)</t>
        </is>
      </c>
      <c r="B16" s="10">
        <f>$B$9*12+$B$10*12+ROUND($B$11*$B$13,0)</f>
        <v/>
      </c>
      <c r="C16" s="11" t="n"/>
      <c r="D16" s="11" t="n"/>
      <c r="E16" s="6" t="inlineStr">
        <is>
          <t>세 시나리오 공통</t>
        </is>
      </c>
    </row>
    <row r="18">
      <c r="A18" s="3" t="inlineStr">
        <is>
          <t>■ 시나리오별 결과 — 성과급이 얼마나 나오느냐에 따라</t>
        </is>
      </c>
      <c r="B18" s="3" t="n"/>
      <c r="C18" s="3" t="n"/>
      <c r="D18" s="3" t="n"/>
      <c r="E18" s="3" t="n"/>
    </row>
    <row r="19">
      <c r="A19" s="12" t="inlineStr">
        <is>
          <t>구분</t>
        </is>
      </c>
      <c r="B19" s="12" t="inlineStr">
        <is>
          <t>최소</t>
        </is>
      </c>
      <c r="C19" s="12" t="inlineStr">
        <is>
          <t>예상</t>
        </is>
      </c>
      <c r="D19" s="12" t="inlineStr">
        <is>
          <t>최대</t>
        </is>
      </c>
    </row>
    <row r="20">
      <c r="A20" s="9" t="inlineStr">
        <is>
          <t>성과급 비율</t>
        </is>
      </c>
      <c r="B20" s="13">
        <f>$B$6</f>
        <v/>
      </c>
      <c r="C20" s="13">
        <f>$B$7</f>
        <v/>
      </c>
      <c r="D20" s="13">
        <f>$B$8</f>
        <v/>
      </c>
      <c r="E20" s="6" t="inlineStr">
        <is>
          <t>월 실수령액 대비 비율 (입력값 그대로)</t>
        </is>
      </c>
    </row>
    <row r="21">
      <c r="A21" s="9" t="inlineStr">
        <is>
          <t>연간 세후 소득 (1년차, 원)</t>
        </is>
      </c>
      <c r="B21" s="14">
        <f>ROUND($B$5*12*(1+$B$6),0)</f>
        <v/>
      </c>
      <c r="C21" s="14">
        <f>ROUND($B$5*12*(1+$B$7),0)</f>
        <v/>
      </c>
      <c r="D21" s="14">
        <f>ROUND($B$5*12*(1+$B$8),0)</f>
        <v/>
      </c>
    </row>
    <row r="22">
      <c r="A22" s="9" t="inlineStr">
        <is>
          <t>연간 잉여 (1년차, 원)</t>
        </is>
      </c>
      <c r="B22" s="14">
        <f>ROUND($B$5*12*(1+$B$6),0)-$B$16</f>
        <v/>
      </c>
      <c r="C22" s="14">
        <f>ROUND($B$5*12*(1+$B$7),0)-$B$16</f>
        <v/>
      </c>
      <c r="D22" s="14">
        <f>ROUND($B$5*12*(1+$B$8),0)-$B$16</f>
        <v/>
      </c>
    </row>
    <row r="23">
      <c r="A23" s="4" t="inlineStr">
        <is>
          <t>차용기간 누적 잉여 (원)</t>
        </is>
      </c>
      <c r="B23" s="15">
        <f>INDEX(B$51:B$60,$B$12)</f>
        <v/>
      </c>
      <c r="C23" s="15">
        <f>INDEX(C$51:C$60,$B$12)</f>
        <v/>
      </c>
      <c r="D23" s="15">
        <f>INDEX(D$51:D$60,$B$12)</f>
        <v/>
      </c>
      <c r="E23" s="6" t="inlineStr">
        <is>
          <t>아래 연도별 표에서 차용 기간에 해당하는 해의 누적</t>
        </is>
      </c>
    </row>
    <row r="24">
      <c r="A24" s="4" t="inlineStr">
        <is>
          <t>버퍼율  (누적 ÷ 원금)</t>
        </is>
      </c>
      <c r="B24" s="16">
        <f>IFERROR(B23/$B$11,"")</f>
        <v/>
      </c>
      <c r="C24" s="16">
        <f>IFERROR(C23/$B$11,"")</f>
        <v/>
      </c>
      <c r="D24" s="16">
        <f>IFERROR(D23/$B$11,"")</f>
        <v/>
      </c>
      <c r="E24" s="6" t="inlineStr">
        <is>
          <t>120% 이상이면 여유 · 100% 미만이면 부족</t>
        </is>
      </c>
    </row>
    <row r="25">
      <c r="A25" s="4" t="inlineStr">
        <is>
          <t>판정</t>
        </is>
      </c>
      <c r="B25" s="17">
        <f>IF(N($B$11)&lt;=0,"—",IF(B24&gt;=1.2,"✅ 여유 충분",IF(B24&gt;=1,"⚠ 가능(주의)","❌ 부족")))</f>
        <v/>
      </c>
      <c r="C25" s="17">
        <f>IF(N($B$11)&lt;=0,"—",IF(C24&gt;=1.2,"✅ 여유 충분",IF(C24&gt;=1,"⚠ 가능(주의)","❌ 부족")))</f>
        <v/>
      </c>
      <c r="D25" s="17">
        <f>IF(N($B$11)&lt;=0,"—",IF(D24&gt;=1.2,"✅ 여유 충분",IF(D24&gt;=1,"⚠ 가능(주의)","❌ 부족")))</f>
        <v/>
      </c>
    </row>
    <row r="26">
      <c r="A26" s="4" t="inlineStr">
        <is>
          <t>안전한 최대 차용액 (원)</t>
        </is>
      </c>
      <c r="B26" s="15">
        <f>MAX(0,ROUND(B23/1.2,-6))</f>
        <v/>
      </c>
      <c r="C26" s="15">
        <f>MAX(0,ROUND(C23/1.2,-6))</f>
        <v/>
      </c>
      <c r="D26" s="15">
        <f>MAX(0,ROUND(D23/1.2,-6))</f>
        <v/>
      </c>
      <c r="E26" s="6" t="inlineStr">
        <is>
          <t>그 시나리오에서 버퍼 120%가 나오는 금액</t>
        </is>
      </c>
    </row>
    <row r="28" ht="28" customHeight="1">
      <c r="A28" s="4" t="inlineStr">
        <is>
          <t>★ 최종 판정</t>
        </is>
      </c>
      <c r="B28" s="18">
        <f>IF(N($B$11)&lt;=0,"⚠ 차용 원금(B11)을 입력하세요",IF(OR($B$20&gt;$C$20,$C$20&gt;$D$20),"⚠ 성과급 비율을 최소 ≤ 예상 ≤ 최대 순서로 입력하세요",IF($B$24&gt;=1.2,"✅ 어떤 경우에도 여유 충분",IF($B$24&gt;=1,"✅ 성과급이 최소여도 상환 가능",IF($C$24&gt;=1.2,"⚠ 예상대로면 충분 — 성과급 부진 시 위험",IF($C$24&gt;=1,"⚠ 예상 기준 겨우 가능 (여유 없음)",IF($D$24&gt;=1,"❌ 성과급이 최대로 나와야만 가능 — 사실상 부족","❌ 상환 능력 부족 (증여 추정 위험)")))))))</f>
        <v/>
      </c>
      <c r="C28" s="19" t="n"/>
      <c r="D28" s="19" t="n"/>
      <c r="E28" s="6" t="inlineStr">
        <is>
          <t>세 시나리오를 모두 보고 내린 판정</t>
        </is>
      </c>
    </row>
    <row r="30">
      <c r="A30" s="3" t="inlineStr">
        <is>
          <t>■ 월 단위로 보면</t>
        </is>
      </c>
      <c r="B30" s="3" t="n"/>
      <c r="C30" s="3" t="n"/>
      <c r="D30" s="3" t="n"/>
      <c r="E30" s="3" t="n"/>
    </row>
    <row r="31">
      <c r="A31" s="9" t="inlineStr">
        <is>
          <t>월 수지 — 성과급 최소일 때</t>
        </is>
      </c>
      <c r="B31" s="10">
        <f>$B$5*(1+$B$6)-$B$9-$B$10-ROUND($B$11*$B$13,0)/12</f>
        <v/>
      </c>
      <c r="C31" s="11" t="n"/>
      <c r="D31" s="11" t="n"/>
      <c r="E31" s="6" t="inlineStr">
        <is>
          <t>음수면 그 해에는 통장이 마이너스</t>
        </is>
      </c>
    </row>
    <row r="32">
      <c r="A32" s="9" t="inlineStr">
        <is>
          <t>월 수지 — 성과급 예상일 때</t>
        </is>
      </c>
      <c r="B32" s="10">
        <f>$B$5*(1+$B$7)-$B$9-$B$10-ROUND($B$11*$B$13,0)/12</f>
        <v/>
      </c>
      <c r="C32" s="11" t="n"/>
      <c r="D32" s="11" t="n"/>
    </row>
    <row r="33">
      <c r="A33" s="4" t="inlineStr">
        <is>
          <t>원금을 다 갚으려면 필요한 기간</t>
        </is>
      </c>
      <c r="B33" s="20">
        <f>IF(N($B$11)&lt;=0,"—",IF(COUNTIF($C$51:$C$60,"&gt;="&amp;$B$11)=0,"10년 안에는 불가",(11-COUNTIF($C$51:$C$60,"&gt;="&amp;$B$11))&amp;"년차"))</f>
        <v/>
      </c>
      <c r="C33" s="19" t="n"/>
      <c r="D33" s="19" t="n"/>
      <c r="E33" s="6" t="inlineStr">
        <is>
          <t>예상 시나리오 기준</t>
        </is>
      </c>
    </row>
    <row r="35">
      <c r="A35" s="3" t="inlineStr">
        <is>
          <t>■ 증여세 체크</t>
        </is>
      </c>
      <c r="B35" s="3" t="n"/>
      <c r="C35" s="3" t="n"/>
      <c r="D35" s="3" t="n"/>
      <c r="E35" s="3" t="n"/>
    </row>
    <row r="36">
      <c r="A36" s="9" t="inlineStr">
        <is>
          <t>무상대여 이익 (연)</t>
        </is>
      </c>
      <c r="B36" s="21">
        <f>MAX(0,ROUND($B$11*0.046,0)-ROUND($B$11*$B$13,0))</f>
        <v/>
      </c>
      <c r="C36" s="22" t="n"/>
      <c r="D36" s="22" t="n"/>
      <c r="E36" s="6" t="inlineStr">
        <is>
          <t>법정 적정이자(4.6%) − 실제 약정이자</t>
        </is>
      </c>
    </row>
    <row r="37">
      <c r="A37" s="9" t="inlineStr">
        <is>
          <t>증여세 과세 여부</t>
        </is>
      </c>
      <c r="B37" s="23">
        <f>IF($B$36&gt;=10000000,"❌ 과세 대상 — 이익 전액이 증여재산가액","✅ 비과세 (연 1,000만원 미만)")</f>
        <v/>
      </c>
      <c r="C37" s="22" t="n"/>
      <c r="D37" s="22" t="n"/>
      <c r="E37" s="6" t="inlineStr">
        <is>
          <t>1,000만원 이상이면 초과분 아닌 전액 과세</t>
        </is>
      </c>
    </row>
    <row r="38">
      <c r="A38" s="9" t="inlineStr">
        <is>
          <t>무이자로 빌릴 수 있는 최대 원금</t>
        </is>
      </c>
      <c r="B38" s="10">
        <f>ROUND(10000000/0.046,0)</f>
        <v/>
      </c>
      <c r="C38" s="11" t="n"/>
      <c r="D38" s="11" t="n"/>
      <c r="E38" s="6" t="inlineStr">
        <is>
          <t>1,000만원 ÷ 4.6% = 217,391,304원</t>
        </is>
      </c>
    </row>
    <row r="39">
      <c r="A39" s="9" t="inlineStr">
        <is>
          <t>한도 소진율</t>
        </is>
      </c>
      <c r="B39" s="24">
        <f>IF($B$13&gt;0,"-",IFERROR($B$11/$B$38,""))</f>
        <v/>
      </c>
      <c r="C39" s="22" t="n"/>
      <c r="D39" s="22" t="n"/>
      <c r="E39" s="6" t="inlineStr">
        <is>
          <t>100% 넘으면 증여세 과세 구간</t>
        </is>
      </c>
    </row>
    <row r="41" ht="120" customHeight="1">
      <c r="A41" s="9" t="inlineStr">
        <is>
          <t>한줄 진단</t>
        </is>
      </c>
      <c r="B41" s="25">
        <f>IF(OR($B$6&gt;$C$20,$C$20&gt;$D$20),"⚠ 성과급 비율 입력 순서가 잘못됐습니다 (최소 ≤ 예상 ≤ 최대)."&amp;CHAR(10),"")&amp;IF($B$36&gt;=10000000,"⚠ 무상대여 이익 "&amp;TEXT($B$36,"#,##0")&amp;"원이 연 1,000만원 이상 → 초과분이 아닌 이익 전액이 증여재산가액으로 과세될 수 있음."&amp;CHAR(10),"")&amp;IF(AND($B$13=0,$B$11&gt;$B$38),"⚠ 무이자로는 "&amp;TEXT($B$38,"#,##0")&amp;"원까지만 안전. 원금을 낮추거나 최소한의 이자를 약정하세요."&amp;CHAR(10),"")&amp;IF(AND($B$13=0,$B$11&lt;=$B$38,$B$11&gt;$B$38*0.95),"⚠ 무이자 한도를 "&amp;TEXT($B$39,"0.0%")&amp;" 소진했습니다. 원금을 "&amp;TEXT($B$38-$B$11,"#,##0")&amp;"원만 더 늘려도 증여세 과세 구간입니다."&amp;CHAR(10),"")&amp;IF(AND($C$24&gt;=1,$B$24&lt;1),"⚠ 성과급이 예상("&amp;TEXT($C$20,"0%")&amp;")대로 나오면 버퍼 "&amp;TEXT($C$24,"0.0%")&amp;"지만, 최소("&amp;TEXT($B$20,"0%")&amp;")면 "&amp;TEXT($B$24,"0.0%")&amp;"로 떨어집니다. 상환 계획이 성과급에 달려 있습니다."&amp;CHAR(10),"")&amp;IF($B$31&lt;0,"⚠ 성과급이 최소일 때는 월 "&amp;TEXT(ABS($B$31),"#,##0")&amp;"원 적자입니다 (대출 상환액이 실수령액에 육박하거나 넘습니다)."&amp;CHAR(10),"")&amp;IF($D$24&lt;1,"⚠ 성과급이 최대로 나와도 금액이 부족합니다. 안전선은 "&amp;TEXT($D$26,"#,##0")&amp;"원입니다."&amp;CHAR(10),"")&amp;IF($B$13&gt;0,"ℹ 이자 지급 시 27.5%를 원천징수해 다음 달 10일까지 납부해야 차용으로 인정됨."&amp;CHAR(10),"")&amp;"ℹ 차용증(확정일자) + 원금 전액 계좌이체 + 매달 상환 이체기록, 이 셋이 없으면 숫자가 좋아도 소용없습니다."</f>
        <v/>
      </c>
      <c r="C41" s="22" t="n"/>
      <c r="D41" s="22" t="n"/>
    </row>
    <row r="43">
      <c r="A43" s="26" t="inlineStr">
        <is>
          <t>■ 읽는 순서 — 이 세 줄만 보면 됩니다</t>
        </is>
      </c>
      <c r="B43" s="26" t="n"/>
      <c r="C43" s="26" t="n"/>
      <c r="D43" s="26" t="n"/>
      <c r="E43" s="26" t="n"/>
    </row>
    <row r="44">
      <c r="A44" s="27" t="inlineStr">
        <is>
          <t>1) 24행 버퍼율을 왼쪽(최소)부터 보세요. 최소에서 100%가 넘으면 성과급과 무관하게 안전합니다.</t>
        </is>
      </c>
    </row>
    <row r="45">
      <c r="A45" s="27" t="inlineStr">
        <is>
          <t>2) 최소는 낮고 예상만 넘는다면, 그 계획은 성과급이 매년 나온다는 전제 위에 있습니다.</t>
        </is>
      </c>
    </row>
    <row r="46">
      <c r="A46" s="27" t="inlineStr">
        <is>
          <t>3) 37행이 비과세인지 확인하세요. 무이자라면 원금이 38행 금액 이하여야 합니다.</t>
        </is>
      </c>
    </row>
    <row r="49">
      <c r="A49" s="3" t="inlineStr">
        <is>
          <t>■ 연도별 누적  [자동 — 건드릴 것 없음]</t>
        </is>
      </c>
      <c r="B49" s="3" t="n"/>
      <c r="C49" s="3" t="n"/>
      <c r="D49" s="3" t="n"/>
      <c r="E49" s="3" t="n"/>
    </row>
    <row r="50">
      <c r="A50" s="28" t="inlineStr">
        <is>
          <t>연차</t>
        </is>
      </c>
      <c r="B50" s="28" t="inlineStr">
        <is>
          <t>누적 (최소)</t>
        </is>
      </c>
      <c r="C50" s="28" t="inlineStr">
        <is>
          <t>누적 (예상)</t>
        </is>
      </c>
      <c r="D50" s="28" t="inlineStr">
        <is>
          <t>누적 (최대)</t>
        </is>
      </c>
      <c r="E50" s="28" t="inlineStr">
        <is>
          <t>원금 대비 (예상)</t>
        </is>
      </c>
    </row>
    <row r="51">
      <c r="A51" s="29" t="n">
        <v>1</v>
      </c>
      <c r="B51" s="30">
        <f>ROUND($B$5*12*(1+$B$6)*(1+$B$14)^(1-1),0)-$B$16</f>
        <v/>
      </c>
      <c r="C51" s="30">
        <f>ROUND($B$5*12*(1+$B$7)*(1+$B$14)^(1-1),0)-$B$16</f>
        <v/>
      </c>
      <c r="D51" s="30">
        <f>ROUND($B$5*12*(1+$B$8)*(1+$B$14)^(1-1),0)-$B$16</f>
        <v/>
      </c>
      <c r="E51" s="31">
        <f>IFERROR(C51/$B$11,"")</f>
        <v/>
      </c>
    </row>
    <row r="52">
      <c r="A52" s="29" t="n">
        <v>2</v>
      </c>
      <c r="B52" s="30">
        <f>B51+ROUND($B$5*12*(1+$B$6)*(1+$B$14)^(2-1),0)-$B$16</f>
        <v/>
      </c>
      <c r="C52" s="30">
        <f>C51+ROUND($B$5*12*(1+$B$7)*(1+$B$14)^(2-1),0)-$B$16</f>
        <v/>
      </c>
      <c r="D52" s="30">
        <f>D51+ROUND($B$5*12*(1+$B$8)*(1+$B$14)^(2-1),0)-$B$16</f>
        <v/>
      </c>
      <c r="E52" s="31">
        <f>IFERROR(C52/$B$11,"")</f>
        <v/>
      </c>
    </row>
    <row r="53">
      <c r="A53" s="29" t="n">
        <v>3</v>
      </c>
      <c r="B53" s="30">
        <f>B52+ROUND($B$5*12*(1+$B$6)*(1+$B$14)^(3-1),0)-$B$16</f>
        <v/>
      </c>
      <c r="C53" s="30">
        <f>C52+ROUND($B$5*12*(1+$B$7)*(1+$B$14)^(3-1),0)-$B$16</f>
        <v/>
      </c>
      <c r="D53" s="30">
        <f>D52+ROUND($B$5*12*(1+$B$8)*(1+$B$14)^(3-1),0)-$B$16</f>
        <v/>
      </c>
      <c r="E53" s="31">
        <f>IFERROR(C53/$B$11,"")</f>
        <v/>
      </c>
    </row>
    <row r="54">
      <c r="A54" s="29" t="n">
        <v>4</v>
      </c>
      <c r="B54" s="30">
        <f>B53+ROUND($B$5*12*(1+$B$6)*(1+$B$14)^(4-1),0)-$B$16</f>
        <v/>
      </c>
      <c r="C54" s="30">
        <f>C53+ROUND($B$5*12*(1+$B$7)*(1+$B$14)^(4-1),0)-$B$16</f>
        <v/>
      </c>
      <c r="D54" s="30">
        <f>D53+ROUND($B$5*12*(1+$B$8)*(1+$B$14)^(4-1),0)-$B$16</f>
        <v/>
      </c>
      <c r="E54" s="31">
        <f>IFERROR(C54/$B$11,"")</f>
        <v/>
      </c>
    </row>
    <row r="55">
      <c r="A55" s="29" t="n">
        <v>5</v>
      </c>
      <c r="B55" s="30">
        <f>B54+ROUND($B$5*12*(1+$B$6)*(1+$B$14)^(5-1),0)-$B$16</f>
        <v/>
      </c>
      <c r="C55" s="30">
        <f>C54+ROUND($B$5*12*(1+$B$7)*(1+$B$14)^(5-1),0)-$B$16</f>
        <v/>
      </c>
      <c r="D55" s="30">
        <f>D54+ROUND($B$5*12*(1+$B$8)*(1+$B$14)^(5-1),0)-$B$16</f>
        <v/>
      </c>
      <c r="E55" s="31">
        <f>IFERROR(C55/$B$11,"")</f>
        <v/>
      </c>
    </row>
    <row r="56">
      <c r="A56" s="29" t="n">
        <v>6</v>
      </c>
      <c r="B56" s="30">
        <f>B55+ROUND($B$5*12*(1+$B$6)*(1+$B$14)^(6-1),0)-$B$16</f>
        <v/>
      </c>
      <c r="C56" s="30">
        <f>C55+ROUND($B$5*12*(1+$B$7)*(1+$B$14)^(6-1),0)-$B$16</f>
        <v/>
      </c>
      <c r="D56" s="30">
        <f>D55+ROUND($B$5*12*(1+$B$8)*(1+$B$14)^(6-1),0)-$B$16</f>
        <v/>
      </c>
      <c r="E56" s="31">
        <f>IFERROR(C56/$B$11,"")</f>
        <v/>
      </c>
    </row>
    <row r="57">
      <c r="A57" s="29" t="n">
        <v>7</v>
      </c>
      <c r="B57" s="30">
        <f>B56+ROUND($B$5*12*(1+$B$6)*(1+$B$14)^(7-1),0)-$B$16</f>
        <v/>
      </c>
      <c r="C57" s="30">
        <f>C56+ROUND($B$5*12*(1+$B$7)*(1+$B$14)^(7-1),0)-$B$16</f>
        <v/>
      </c>
      <c r="D57" s="30">
        <f>D56+ROUND($B$5*12*(1+$B$8)*(1+$B$14)^(7-1),0)-$B$16</f>
        <v/>
      </c>
      <c r="E57" s="31">
        <f>IFERROR(C57/$B$11,"")</f>
        <v/>
      </c>
    </row>
    <row r="58">
      <c r="A58" s="29" t="n">
        <v>8</v>
      </c>
      <c r="B58" s="30">
        <f>B57+ROUND($B$5*12*(1+$B$6)*(1+$B$14)^(8-1),0)-$B$16</f>
        <v/>
      </c>
      <c r="C58" s="30">
        <f>C57+ROUND($B$5*12*(1+$B$7)*(1+$B$14)^(8-1),0)-$B$16</f>
        <v/>
      </c>
      <c r="D58" s="30">
        <f>D57+ROUND($B$5*12*(1+$B$8)*(1+$B$14)^(8-1),0)-$B$16</f>
        <v/>
      </c>
      <c r="E58" s="31">
        <f>IFERROR(C58/$B$11,"")</f>
        <v/>
      </c>
    </row>
    <row r="59">
      <c r="A59" s="29" t="n">
        <v>9</v>
      </c>
      <c r="B59" s="30">
        <f>B58+ROUND($B$5*12*(1+$B$6)*(1+$B$14)^(9-1),0)-$B$16</f>
        <v/>
      </c>
      <c r="C59" s="30">
        <f>C58+ROUND($B$5*12*(1+$B$7)*(1+$B$14)^(9-1),0)-$B$16</f>
        <v/>
      </c>
      <c r="D59" s="30">
        <f>D58+ROUND($B$5*12*(1+$B$8)*(1+$B$14)^(9-1),0)-$B$16</f>
        <v/>
      </c>
      <c r="E59" s="31">
        <f>IFERROR(C59/$B$11,"")</f>
        <v/>
      </c>
    </row>
    <row r="60">
      <c r="A60" s="29" t="n">
        <v>10</v>
      </c>
      <c r="B60" s="30">
        <f>B59+ROUND($B$5*12*(1+$B$6)*(1+$B$14)^(10-1),0)-$B$16</f>
        <v/>
      </c>
      <c r="C60" s="30">
        <f>C59+ROUND($B$5*12*(1+$B$7)*(1+$B$14)^(10-1),0)-$B$16</f>
        <v/>
      </c>
      <c r="D60" s="30">
        <f>D59+ROUND($B$5*12*(1+$B$8)*(1+$B$14)^(10-1),0)-$B$16</f>
        <v/>
      </c>
      <c r="E60" s="31">
        <f>IFERROR(C60/$B$11,"")</f>
        <v/>
      </c>
    </row>
    <row r="62">
      <c r="A62" s="6" t="inlineStr">
        <is>
          <t>초록색으로 칠해진 줄 = 예상 시나리오에서 그 해에 원금을 다 갚을 수 있다는 뜻</t>
        </is>
      </c>
    </row>
    <row r="63">
      <c r="A63" s="6" t="inlineStr">
        <is>
          <t>성과급은 월 실수령액 × 비율로 계산되므로 급여 상승률이 성과급에도 함께 적용됩니다.</t>
        </is>
      </c>
    </row>
    <row r="64">
      <c r="A64" s="6" t="inlineStr">
        <is>
          <t>지출은 상승률 없이 고정으로 둡니다 (보수적 추정).</t>
        </is>
      </c>
    </row>
    <row r="66">
      <c r="A66" s="32" t="inlineStr">
        <is>
          <t>※ 사전 점검용 추산입니다. 실제 과세 판단은 개별 사실관계에 좌우되므로 실행 전 세무대리인 확인을 권합니다.</t>
        </is>
      </c>
    </row>
  </sheetData>
  <mergeCells count="16">
    <mergeCell ref="B33:D33"/>
    <mergeCell ref="B28:D28"/>
    <mergeCell ref="B36:D36"/>
    <mergeCell ref="B37:D37"/>
    <mergeCell ref="A2:E2"/>
    <mergeCell ref="B31:D31"/>
    <mergeCell ref="B41:D41"/>
    <mergeCell ref="B32:D32"/>
    <mergeCell ref="A1:E1"/>
    <mergeCell ref="A45:E45"/>
    <mergeCell ref="A46:E46"/>
    <mergeCell ref="A66:E66"/>
    <mergeCell ref="A44:E44"/>
    <mergeCell ref="B39:D39"/>
    <mergeCell ref="B38:D38"/>
    <mergeCell ref="B16:D16"/>
  </mergeCells>
  <conditionalFormatting sqref="B25:D25">
    <cfRule type="expression" priority="1" dxfId="0">
      <formula>LEFT(B25,1)="✅"</formula>
    </cfRule>
    <cfRule type="expression" priority="3" dxfId="1">
      <formula>LEFT(B25,1)="⚠"</formula>
    </cfRule>
    <cfRule type="expression" priority="5" dxfId="2">
      <formula>LEFT(B25,1)="❌"</formula>
    </cfRule>
  </conditionalFormatting>
  <conditionalFormatting sqref="B28">
    <cfRule type="expression" priority="2" dxfId="3">
      <formula>LEFT($B$28,1)="✅"</formula>
    </cfRule>
    <cfRule type="expression" priority="4" dxfId="4">
      <formula>LEFT($B$28,1)="⚠"</formula>
    </cfRule>
    <cfRule type="expression" priority="6" dxfId="5">
      <formula>LEFT($B$28,1)="❌"</formula>
    </cfRule>
  </conditionalFormatting>
  <conditionalFormatting sqref="B24:D24">
    <cfRule type="cellIs" priority="7" operator="greaterThanOrEqual" dxfId="6">
      <formula>1.2</formula>
    </cfRule>
    <cfRule type="cellIs" priority="8" operator="lessThan" dxfId="7">
      <formula>1</formula>
    </cfRule>
  </conditionalFormatting>
  <conditionalFormatting sqref="B22:D22">
    <cfRule type="cellIs" priority="9" operator="lessThan" dxfId="8">
      <formula>0</formula>
    </cfRule>
  </conditionalFormatting>
  <conditionalFormatting sqref="B31">
    <cfRule type="cellIs" priority="10" operator="lessThan" dxfId="8">
      <formula>0</formula>
    </cfRule>
  </conditionalFormatting>
  <conditionalFormatting sqref="B32">
    <cfRule type="cellIs" priority="11" operator="lessThan" dxfId="8">
      <formula>0</formula>
    </cfRule>
  </conditionalFormatting>
  <conditionalFormatting sqref="B51:D60">
    <cfRule type="cellIs" priority="12" operator="lessThan" dxfId="8">
      <formula>0</formula>
    </cfRule>
  </conditionalFormatting>
  <conditionalFormatting sqref="B37">
    <cfRule type="expression" priority="13" dxfId="2">
      <formula>ISNUMBER(SEARCH("과세 대상",$B$37))</formula>
    </cfRule>
  </conditionalFormatting>
  <conditionalFormatting sqref="B39">
    <cfRule type="cellIs" priority="14" operator="greaterThan" dxfId="7">
      <formula>1</formula>
    </cfRule>
    <cfRule type="cellIs" priority="15" operator="between" dxfId="9">
      <formula>0.95</formula>
      <formula>1</formula>
    </cfRule>
  </conditionalFormatting>
  <conditionalFormatting sqref="A51:E60">
    <cfRule type="expression" priority="16" dxfId="6">
      <formula>$C51&gt;=$B$11</formula>
    </cfRule>
  </conditionalFormatting>
  <dataValidations count="4">
    <dataValidation sqref="B5 B9 B10 B11" showDropDown="0" showInputMessage="0" showErrorMessage="0" allowBlank="0" error="0 이상의 숫자를 입력하세요." type="decimal" operator="greaterThanOrEqual">
      <formula1>0</formula1>
    </dataValidation>
    <dataValidation sqref="B12" showDropDown="0" showInputMessage="0" showErrorMessage="0" allowBlank="0" error="1~10년 사이로 입력하세요." type="whole" operator="between">
      <formula1>1</formula1>
      <formula2>10</formula2>
    </dataValidation>
    <dataValidation sqref="B6 B7 B8" showDropDown="0" showInputMessage="0" showErrorMessage="0" allowBlank="0" error="0% ~ 500% 사이로 입력하세요." type="decimal" operator="between">
      <formula1>0</formula1>
      <formula2>5</formula2>
    </dataValidation>
    <dataValidation sqref="B13 B14" showDropDown="0" showInputMessage="0" showErrorMessage="0" allowBlank="0" error="0% ~ 100% 사이로 입력하세요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2026-09-15T13:49:18Z</dcterms:created>
  <dcterms:modified xsi:type="dcterms:W3CDTF">2026-09-15T13:49:18Z</dcterms:modified>
</cp:coreProperties>
</file>