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CI_간편검증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&quot;원&quot;"/>
    <numFmt numFmtId="165" formatCode="0&quot;년&quot;"/>
    <numFmt numFmtId="166" formatCode="0.0%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7F7F7F"/>
      <sz val="10"/>
    </font>
    <font>
      <name val="Arial"/>
      <b val="1"/>
    </font>
    <font>
      <name val="Arial"/>
    </font>
    <font>
      <name val="Arial"/>
      <color rgb="007F7F7F"/>
      <sz val="9"/>
    </font>
    <font>
      <name val="Arial"/>
      <b val="1"/>
      <sz val="12"/>
    </font>
    <font>
      <name val="Arial"/>
      <b val="1"/>
      <sz val="11"/>
    </font>
    <font>
      <name val="Arial"/>
      <b val="1"/>
      <sz val="14"/>
    </font>
    <font>
      <name val="Arial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CE4E4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3" borderId="0" pivotButton="0" quotePrefix="0" xfId="0"/>
    <xf numFmtId="0" fontId="3" fillId="0" borderId="0" pivotButton="0" quotePrefix="0" xfId="0"/>
    <xf numFmtId="164" fontId="6" fillId="4" borderId="1" pivotButton="0" quotePrefix="0" xfId="0"/>
    <xf numFmtId="0" fontId="5" fillId="0" borderId="0" pivotButton="0" quotePrefix="0" xfId="0"/>
    <xf numFmtId="165" fontId="6" fillId="4" borderId="1" pivotButton="0" quotePrefix="0" xfId="0"/>
    <xf numFmtId="166" fontId="6" fillId="4" borderId="1" pivotButton="0" quotePrefix="0" xfId="0"/>
    <xf numFmtId="0" fontId="4" fillId="0" borderId="0" pivotButton="0" quotePrefix="0" xfId="0"/>
    <xf numFmtId="164" fontId="4" fillId="5" borderId="0" pivotButton="0" quotePrefix="0" xfId="0"/>
    <xf numFmtId="164" fontId="7" fillId="6" borderId="1" pivotButton="0" quotePrefix="0" xfId="0"/>
    <xf numFmtId="166" fontId="7" fillId="6" borderId="1" pivotButton="0" quotePrefix="0" xfId="0"/>
    <xf numFmtId="166" fontId="4" fillId="5" borderId="0" pivotButton="0" quotePrefix="0" xfId="0"/>
    <xf numFmtId="0" fontId="8" fillId="6" borderId="1" pivotButton="0" quotePrefix="0" xfId="0"/>
    <xf numFmtId="164" fontId="3" fillId="7" borderId="0" pivotButton="0" quotePrefix="0" xfId="0"/>
    <xf numFmtId="0" fontId="3" fillId="7" borderId="0" pivotButton="0" quotePrefix="0" xfId="0"/>
    <xf numFmtId="166" fontId="3" fillId="7" borderId="0" pivotButton="0" quotePrefix="0" xfId="0"/>
    <xf numFmtId="0" fontId="7" fillId="6" borderId="1" pivotButton="0" quotePrefix="0" xfId="0"/>
    <xf numFmtId="0" fontId="3" fillId="7" borderId="0" applyAlignment="1" pivotButton="0" quotePrefix="0" xfId="0">
      <alignment vertical="top" wrapText="1"/>
    </xf>
    <xf numFmtId="0" fontId="3" fillId="8" borderId="0" pivotButton="0" quotePrefix="0" xfId="0"/>
    <xf numFmtId="0" fontId="9" fillId="0" borderId="0" pivotButton="0" quotePrefix="0" xfId="0"/>
    <xf numFmtId="0" fontId="3" fillId="5" borderId="1" applyAlignment="1" pivotButton="0" quotePrefix="0" xfId="0">
      <alignment horizontal="center" wrapText="1"/>
    </xf>
    <xf numFmtId="165" fontId="3" fillId="0" borderId="1" applyAlignment="1" pivotButton="0" quotePrefix="0" xfId="0">
      <alignment horizontal="center"/>
    </xf>
    <xf numFmtId="3" fontId="0" fillId="0" borderId="1" pivotButton="0" quotePrefix="0" xfId="0"/>
    <xf numFmtId="166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dxfs count="7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ont>
        <b val="1"/>
        <color rgb="009C0006"/>
      </font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PCI 간편검증</author>
  </authors>
  <commentList>
    <comment ref="B5" authorId="0" shapeId="0">
      <text>
        <t>급여명세서의 실지급액(공제 후)을 그대로 넣으세요. 4대보험·소득세를 따로 계산할 필요가 없습니다.</t>
      </text>
    </comment>
    <comment ref="B6" authorId="0" shapeId="0">
      <text>
        <t>세후 기준입니다. 세전 금액만 안다면 대략 × 0.6 정도로 넣으세요.</t>
      </text>
    </comment>
    <comment ref="B12" authorId="0" shapeId="0">
      <text>
        <t>0으로 두면 급여가 전혀 오르지 않는다고 보고 계산합니다. 국세청에 제시할 자료라면 0이 가장 안전합니다.</t>
      </text>
    </comment>
    <comment ref="B19" authorId="0" shapeId="0">
      <text>
        <t>성과급까지 포함한 전체 소득 기준입니다. 성과급은 이 계산에 이미 들어가 있습니다.</t>
      </text>
    </comment>
    <comment ref="B25" authorId="0" shapeId="0">
      <text>
        <t>성과급이 한 푼도 안 나온다고 가정했을 때의 버퍼율입니다. 버퍼율 ①과 차이가 클수록 상환 계획이 성과급에 의존한다는 뜻입니다.</t>
      </text>
    </comment>
    <comment ref="B32" authorId="0" shapeId="0">
      <text>
        <t>상속세 및 증여세법 시행령 제31조의4 — 적정이자율 연 4.6%. 무상대여 이익이 연 1천만원 이상이면 전액이 증여재산가액.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6" customWidth="1" min="1" max="1"/>
    <col width="22" customWidth="1" min="2" max="2"/>
    <col width="46" customWidth="1" min="3" max="3"/>
    <col width="12" customWidth="1" min="4" max="4"/>
    <col width="20" customWidth="1" min="5" max="5"/>
    <col width="20" customWidth="1" min="6" max="6"/>
  </cols>
  <sheetData>
    <row r="1" ht="36" customHeight="1">
      <c r="A1" s="1" t="inlineStr">
        <is>
          <t>개인 간 차용 상환능력 간편 검증</t>
        </is>
      </c>
    </row>
    <row r="2">
      <c r="A2" s="2" t="inlineStr">
        <is>
          <t>노란 칸 8개만 채우면 끝. 나머지는 전부 자동입니다.</t>
        </is>
      </c>
    </row>
    <row r="4">
      <c r="A4" s="3" t="inlineStr">
        <is>
          <t>■ 입력 — 이 칸만 채우세요</t>
        </is>
      </c>
      <c r="B4" s="3" t="n"/>
      <c r="C4" s="3" t="n"/>
    </row>
    <row r="5">
      <c r="A5" s="4" t="inlineStr">
        <is>
          <t>① 월 실수령액 (통장 입금액)</t>
        </is>
      </c>
      <c r="B5" s="5" t="n">
        <v>3800000</v>
      </c>
      <c r="C5" s="6" t="inlineStr">
        <is>
          <t>급여명세서 실지급액. 세금·4대보험 다 뗀 금액</t>
        </is>
      </c>
    </row>
    <row r="6">
      <c r="A6" s="4" t="inlineStr">
        <is>
          <t>② 연간 성과급 실수령액</t>
        </is>
      </c>
      <c r="B6" s="5" t="n">
        <v>6000000</v>
      </c>
      <c r="C6" s="6" t="inlineStr">
        <is>
          <t>없으면 0. 세후 기준 — 모르면 세전 × 0.6</t>
        </is>
      </c>
    </row>
    <row r="7">
      <c r="A7" s="4" t="inlineStr">
        <is>
          <t>③ 월 대출 상환액 합계</t>
        </is>
      </c>
      <c r="B7" s="5" t="n">
        <v>2000000</v>
      </c>
      <c r="C7" s="6" t="inlineStr">
        <is>
          <t>주담대 + 신용 + 회사대출 … 전부 더한 값</t>
        </is>
      </c>
    </row>
    <row r="8">
      <c r="A8" s="4" t="inlineStr">
        <is>
          <t>④ 월 생활비 합계</t>
        </is>
      </c>
      <c r="B8" s="5" t="n">
        <v>1500000</v>
      </c>
      <c r="C8" s="6" t="inlineStr">
        <is>
          <t>고정비 + 변동비. 최근 3개월 카드값 평균</t>
        </is>
      </c>
    </row>
    <row r="9">
      <c r="A9" s="4" t="inlineStr">
        <is>
          <t>⑤ 차용 원금</t>
        </is>
      </c>
      <c r="B9" s="5" t="n">
        <v>200000000</v>
      </c>
      <c r="C9" s="6" t="inlineStr">
        <is>
          <t>빌리려는 금액</t>
        </is>
      </c>
    </row>
    <row r="10">
      <c r="A10" s="4" t="inlineStr">
        <is>
          <t>⑥ 차용 기간 (년)</t>
        </is>
      </c>
      <c r="B10" s="7" t="n">
        <v>5</v>
      </c>
      <c r="C10" s="6" t="inlineStr">
        <is>
          <t>1~10년</t>
        </is>
      </c>
    </row>
    <row r="11">
      <c r="A11" s="4" t="inlineStr">
        <is>
          <t>⑦ 약정 이자율 (연)</t>
        </is>
      </c>
      <c r="B11" s="8" t="n">
        <v>0</v>
      </c>
      <c r="C11" s="6" t="inlineStr">
        <is>
          <t>무이자면 0%</t>
        </is>
      </c>
    </row>
    <row r="12">
      <c r="A12" s="4" t="inlineStr">
        <is>
          <t>⑧ 연간 급여 상승률</t>
        </is>
      </c>
      <c r="B12" s="8" t="n">
        <v>0</v>
      </c>
      <c r="C12" s="6" t="inlineStr">
        <is>
          <t>모르면 0으로 두세요 (가장 보수적)</t>
        </is>
      </c>
    </row>
    <row r="14">
      <c r="A14" s="3" t="inlineStr">
        <is>
          <t>■ 1단계 · 금액이 되는가   (성과급 포함)</t>
        </is>
      </c>
      <c r="B14" s="3" t="n"/>
      <c r="C14" s="3" t="n"/>
    </row>
    <row r="15">
      <c r="A15" s="9" t="inlineStr">
        <is>
          <t>연간 세후 소득 (성과급 포함)</t>
        </is>
      </c>
      <c r="B15" s="10">
        <f>$B$5*12+$B$6</f>
        <v/>
      </c>
      <c r="C15" s="6" t="inlineStr">
        <is>
          <t>월급 12개월 + 성과급. 성과급도 당연히 포함됩니다</t>
        </is>
      </c>
    </row>
    <row r="16">
      <c r="A16" s="9" t="inlineStr">
        <is>
          <t>연간 지출 (대출+생활비+차용이자)</t>
        </is>
      </c>
      <c r="B16" s="10">
        <f>$B$7*12+$B$8*12+ROUND($B$9*$B$11,0)</f>
        <v/>
      </c>
    </row>
    <row r="17">
      <c r="A17" s="9" t="inlineStr">
        <is>
          <t>연간 잉여 (저축 가능액)</t>
        </is>
      </c>
      <c r="B17" s="10">
        <f>$B$15-$B$16</f>
        <v/>
      </c>
    </row>
    <row r="18">
      <c r="A18" s="4" t="inlineStr">
        <is>
          <t>차용기간 누적 잉여</t>
        </is>
      </c>
      <c r="B18" s="11">
        <f>INDEX($C$48:$C$57,$B$10)</f>
        <v/>
      </c>
      <c r="C18" s="6" t="inlineStr">
        <is>
          <t>아래 연도별 표 기준</t>
        </is>
      </c>
    </row>
    <row r="19">
      <c r="A19" s="4" t="inlineStr">
        <is>
          <t>버퍼율 ①  (성과급 포함)</t>
        </is>
      </c>
      <c r="B19" s="12">
        <f>IFERROR($B$18/$B$9,"")</f>
        <v/>
      </c>
      <c r="C19" s="6" t="inlineStr">
        <is>
          <t>120% 이상이면 금액은 넉넉</t>
        </is>
      </c>
    </row>
    <row r="21">
      <c r="A21" s="3" t="inlineStr">
        <is>
          <t>■ 2단계 · 성과급 없이도 되는가   (안정성)</t>
        </is>
      </c>
      <c r="B21" s="3" t="n"/>
      <c r="C21" s="3" t="n"/>
    </row>
    <row r="22">
      <c r="A22" s="9" t="inlineStr">
        <is>
          <t>성과급이 소득에서 차지하는 비중</t>
        </is>
      </c>
      <c r="B22" s="13">
        <f>IFERROR($B$6/$B$15,"")</f>
        <v/>
      </c>
      <c r="C22" s="6" t="inlineStr">
        <is>
          <t>30% 넘으면 소명 시 약한 고리</t>
        </is>
      </c>
    </row>
    <row r="23">
      <c r="A23" s="9" t="inlineStr">
        <is>
          <t>월급만으로 월 수지</t>
        </is>
      </c>
      <c r="B23" s="10">
        <f>$B$5-$B$7-$B$8-ROUND($B$9*$B$11,0)/12</f>
        <v/>
      </c>
      <c r="C23" s="6" t="inlineStr">
        <is>
          <t>음수면 월급으로 대출·생활비를 못 감당한다는 뜻</t>
        </is>
      </c>
    </row>
    <row r="24">
      <c r="A24" s="4" t="inlineStr">
        <is>
          <t>성과급 0 가정 시 누적 잉여</t>
        </is>
      </c>
      <c r="B24" s="11">
        <f>INDEX($F$48:$F$57,$B$10)</f>
        <v/>
      </c>
      <c r="C24" s="6" t="inlineStr">
        <is>
          <t>성과급이 한 푼도 안 나온다고 보면</t>
        </is>
      </c>
    </row>
    <row r="25">
      <c r="A25" s="4" t="inlineStr">
        <is>
          <t>버퍼율 ②  (성과급 0 기준)</t>
        </is>
      </c>
      <c r="B25" s="12">
        <f>IFERROR($B$24/$B$9,"")</f>
        <v/>
      </c>
      <c r="C25" s="6" t="inlineStr">
        <is>
          <t>100% 이상이면 성과급 없이도 상환 가능</t>
        </is>
      </c>
    </row>
    <row r="27" ht="28" customHeight="1">
      <c r="A27" s="4" t="inlineStr">
        <is>
          <t>★ 최종 판정</t>
        </is>
      </c>
      <c r="B27" s="14">
        <f>IF(AND($B$19&gt;=1.2,$B$25&gt;=1),"✅ 상환 여유 충분",IF(AND($B$19&gt;=1.2,$B$25&lt;1),"⚠ 금액은 충분 — 성과급 의존 주의",IF($B$19&gt;=1,"⚠ 상환 가능 (주의 요망)","❌ 상환 능력 부족 (증여 추정 위험)")))</f>
        <v/>
      </c>
      <c r="C27" s="6" t="inlineStr">
        <is>
          <t>버퍼율 ①과 ② 를 같이 보고 내린 판정</t>
        </is>
      </c>
    </row>
    <row r="29">
      <c r="A29" s="3" t="inlineStr">
        <is>
          <t>■ 증여세 체크</t>
        </is>
      </c>
      <c r="B29" s="3" t="n"/>
      <c r="C29" s="3" t="n"/>
    </row>
    <row r="30">
      <c r="A30" s="9" t="inlineStr">
        <is>
          <t>무상대여 이익 (연)</t>
        </is>
      </c>
      <c r="B30" s="15">
        <f>MAX(0,ROUND($B$9*0.046,0)-ROUND($B$9*$B$11,0))</f>
        <v/>
      </c>
      <c r="C30" s="6" t="inlineStr">
        <is>
          <t>법정 적정이자(4.6%) − 실제 약정이자</t>
        </is>
      </c>
    </row>
    <row r="31">
      <c r="A31" s="9" t="inlineStr">
        <is>
          <t>증여세 과세 여부</t>
        </is>
      </c>
      <c r="B31" s="16">
        <f>IF($B$30&gt;=10000000,"❌ 과세 대상 — 이익 전액이 증여재산가액","✅ 비과세 (연 1,000만원 미만)")</f>
        <v/>
      </c>
      <c r="C31" s="6" t="inlineStr">
        <is>
          <t>1,000만원 이상이면 초과분 아닌 전액 과세</t>
        </is>
      </c>
    </row>
    <row r="32">
      <c r="A32" s="9" t="inlineStr">
        <is>
          <t>무이자로 빌릴 수 있는 최대 원금</t>
        </is>
      </c>
      <c r="B32" s="10" t="n">
        <v>217391304</v>
      </c>
      <c r="C32" s="6" t="inlineStr">
        <is>
          <t>1,000만원 ÷ 4.6% — 고정값</t>
        </is>
      </c>
    </row>
    <row r="33">
      <c r="A33" s="9" t="inlineStr">
        <is>
          <t>한도 소진율</t>
        </is>
      </c>
      <c r="B33" s="17">
        <f>IF($B$11&gt;0,"-",IFERROR($B$9/$B$32,""))</f>
        <v/>
      </c>
      <c r="C33" s="6" t="inlineStr">
        <is>
          <t>100% 넘으면 증여세 과세 구간</t>
        </is>
      </c>
    </row>
    <row r="35">
      <c r="A35" s="3" t="inlineStr">
        <is>
          <t>■ 그래서 어떻게 하면 되나</t>
        </is>
      </c>
      <c r="B35" s="3" t="n"/>
      <c r="C35" s="3" t="n"/>
    </row>
    <row r="36">
      <c r="A36" s="4" t="inlineStr">
        <is>
          <t>안전한 최대 차용액  (성과급 포함 기준)</t>
        </is>
      </c>
      <c r="B36" s="11">
        <f>ROUND($B$18/1.2,-6)</f>
        <v/>
      </c>
      <c r="C36" s="6" t="inlineStr">
        <is>
          <t>성과급이 계속 나온다는 전제</t>
        </is>
      </c>
    </row>
    <row r="37">
      <c r="A37" s="4" t="inlineStr">
        <is>
          <t>안전한 최대 차용액  (성과급 0 기준)</t>
        </is>
      </c>
      <c r="B37" s="11">
        <f>MAX(0,ROUND($B$24/1.2,-6))</f>
        <v/>
      </c>
      <c r="C37" s="6" t="inlineStr">
        <is>
          <t>성과급이 끊겨도 버티는 금액 — 진짜 보수적 안전선</t>
        </is>
      </c>
    </row>
    <row r="38">
      <c r="A38" s="4" t="inlineStr">
        <is>
          <t>원금을 다 갚으려면 필요한 기간</t>
        </is>
      </c>
      <c r="B38" s="18">
        <f>IF(COUNTIF($C$48:$C$57,"&gt;="&amp;$B$9)=0,"10년 안에는 불가",(11-COUNTIF($C$48:$C$57,"&gt;="&amp;$B$9))&amp;"년차")</f>
        <v/>
      </c>
      <c r="C38" s="6" t="inlineStr">
        <is>
          <t>성과급 포함 기준</t>
        </is>
      </c>
    </row>
    <row r="39" ht="118" customHeight="1">
      <c r="A39" s="9" t="inlineStr">
        <is>
          <t>한줄 진단</t>
        </is>
      </c>
      <c r="B39" s="19">
        <f>IF($B$30&gt;=10000000,"⚠ 무상대여 이익 "&amp;TEXT($B$30,"#,##0")&amp;"원이 연 1,000만원 이상 → 초과분이 아닌 이익 전액이 증여재산가액으로 과세될 수 있음."&amp;CHAR(10),"")&amp;IF(AND($B$11=0,$B$9&gt;$B$32),"⚠ 무이자로는 "&amp;TEXT($B$32,"#,##0")&amp;"원까지만 안전. 원금을 낮추거나 최소한의 이자를 약정하세요."&amp;CHAR(10),"")&amp;IF(AND($B$11=0,$B$9&lt;=$B$32,$B$9&gt;$B$32*0.95),"⚠ 무이자 한도를 "&amp;TEXT($B$33,"0.0%")&amp;" 소진했습니다. 원금을 "&amp;TEXT($B$32-$B$9,"#,##0")&amp;"원만 더 늘려도 증여세 과세 구간입니다."&amp;CHAR(10),"")&amp;IF(AND($B$19&gt;=1.2,$B$25&lt;1),"⚠ 성과급이 없다고 보면 버퍼율이 "&amp;TEXT($B$25,"0.0%")&amp;"로 떨어집니다. 이 계획은 성과급이 매년 나온다는 전제 위에 서 있습니다."&amp;CHAR(10),"")&amp;IF($B$23&lt;0,"⚠ 월급만으로는 월 "&amp;TEXT(ABS($B$23),"#,##0")&amp;"원 적자입니다 (대출 상환액이 실수령액에 육박하거나 넘습니다)."&amp;CHAR(10),"")&amp;IF($B$19&lt;1,"⚠ 금액 자체가 부족합니다. 이 조건이면 "&amp;TEXT(ROUND($B$18/1.2,-6),"#,##0")&amp;"원까지가 안전선입니다."&amp;CHAR(10),"")&amp;IF($B$11&gt;0,"ℹ 이자 지급 시 27.5%를 원천징수해 다음 달 10일까지 납부해야 차용으로 인정됨."&amp;CHAR(10),"")&amp;"ℹ 차용증(확정일자) + 원금 전액 계좌이체 + 매달 상환 이체기록, 이 셋이 없으면 숫자가 좋아도 소용없습니다."</f>
        <v/>
      </c>
    </row>
    <row r="41">
      <c r="A41" s="20" t="inlineStr">
        <is>
          <t>■ 읽는 순서 — 이 세 줄만 보면 됩니다</t>
        </is>
      </c>
      <c r="B41" s="20" t="n"/>
      <c r="C41" s="20" t="n"/>
    </row>
    <row r="42">
      <c r="A42" s="21" t="inlineStr">
        <is>
          <t>1) B19 버퍼율 ① 이 120% 이상인가?   → 금액이 되는지</t>
        </is>
      </c>
    </row>
    <row r="43">
      <c r="A43" s="21" t="inlineStr">
        <is>
          <t>2) B25 버퍼율 ② 가 100% 이상인가?   → 성과급 없이도 되는지</t>
        </is>
      </c>
    </row>
    <row r="44">
      <c r="A44" s="21" t="inlineStr">
        <is>
          <t>3) B31 이 비과세인가?   → 무이자라면 원금이 B32 이하인지</t>
        </is>
      </c>
    </row>
    <row r="46">
      <c r="A46" s="3" t="inlineStr">
        <is>
          <t>■ 연도별 누적  [자동 — 건드릴 것 없음]</t>
        </is>
      </c>
      <c r="B46" s="3" t="n"/>
      <c r="C46" s="3" t="n"/>
      <c r="D46" s="3" t="n"/>
      <c r="E46" s="3" t="n"/>
      <c r="F46" s="3" t="n"/>
    </row>
    <row r="47">
      <c r="A47" s="22" t="inlineStr">
        <is>
          <t>연차</t>
        </is>
      </c>
      <c r="B47" s="22" t="inlineStr">
        <is>
          <t>연간 잉여</t>
        </is>
      </c>
      <c r="C47" s="22" t="inlineStr">
        <is>
          <t>누적 잉여</t>
        </is>
      </c>
      <c r="D47" s="22" t="inlineStr">
        <is>
          <t>원금 대비</t>
        </is>
      </c>
      <c r="E47" s="22" t="inlineStr">
        <is>
          <t>연간 잉여 (성과급 0)</t>
        </is>
      </c>
      <c r="F47" s="22" t="inlineStr">
        <is>
          <t>누적 잉여 (성과급 0)</t>
        </is>
      </c>
    </row>
    <row r="48">
      <c r="A48" s="23" t="n">
        <v>1</v>
      </c>
      <c r="B48" s="24">
        <f>ROUND($B$15*(1+$B$12)^(1-1),0)-$B$16</f>
        <v/>
      </c>
      <c r="C48" s="24">
        <f>B48</f>
        <v/>
      </c>
      <c r="D48" s="25">
        <f>IFERROR(C48/$B$9,"")</f>
        <v/>
      </c>
      <c r="E48" s="24">
        <f>ROUND($B$5*12*(1+$B$12)^(1-1),0)-$B$16</f>
        <v/>
      </c>
      <c r="F48" s="24">
        <f>E48</f>
        <v/>
      </c>
    </row>
    <row r="49">
      <c r="A49" s="23" t="n">
        <v>2</v>
      </c>
      <c r="B49" s="24">
        <f>ROUND($B$15*(1+$B$12)^(2-1),0)-$B$16</f>
        <v/>
      </c>
      <c r="C49" s="24">
        <f>C48+B49</f>
        <v/>
      </c>
      <c r="D49" s="25">
        <f>IFERROR(C49/$B$9,"")</f>
        <v/>
      </c>
      <c r="E49" s="24">
        <f>ROUND($B$5*12*(1+$B$12)^(2-1),0)-$B$16</f>
        <v/>
      </c>
      <c r="F49" s="24">
        <f>F48+E49</f>
        <v/>
      </c>
    </row>
    <row r="50">
      <c r="A50" s="23" t="n">
        <v>3</v>
      </c>
      <c r="B50" s="24">
        <f>ROUND($B$15*(1+$B$12)^(3-1),0)-$B$16</f>
        <v/>
      </c>
      <c r="C50" s="24">
        <f>C49+B50</f>
        <v/>
      </c>
      <c r="D50" s="25">
        <f>IFERROR(C50/$B$9,"")</f>
        <v/>
      </c>
      <c r="E50" s="24">
        <f>ROUND($B$5*12*(1+$B$12)^(3-1),0)-$B$16</f>
        <v/>
      </c>
      <c r="F50" s="24">
        <f>F49+E50</f>
        <v/>
      </c>
    </row>
    <row r="51">
      <c r="A51" s="23" t="n">
        <v>4</v>
      </c>
      <c r="B51" s="24">
        <f>ROUND($B$15*(1+$B$12)^(4-1),0)-$B$16</f>
        <v/>
      </c>
      <c r="C51" s="24">
        <f>C50+B51</f>
        <v/>
      </c>
      <c r="D51" s="25">
        <f>IFERROR(C51/$B$9,"")</f>
        <v/>
      </c>
      <c r="E51" s="24">
        <f>ROUND($B$5*12*(1+$B$12)^(4-1),0)-$B$16</f>
        <v/>
      </c>
      <c r="F51" s="24">
        <f>F50+E51</f>
        <v/>
      </c>
    </row>
    <row r="52">
      <c r="A52" s="23" t="n">
        <v>5</v>
      </c>
      <c r="B52" s="24">
        <f>ROUND($B$15*(1+$B$12)^(5-1),0)-$B$16</f>
        <v/>
      </c>
      <c r="C52" s="24">
        <f>C51+B52</f>
        <v/>
      </c>
      <c r="D52" s="25">
        <f>IFERROR(C52/$B$9,"")</f>
        <v/>
      </c>
      <c r="E52" s="24">
        <f>ROUND($B$5*12*(1+$B$12)^(5-1),0)-$B$16</f>
        <v/>
      </c>
      <c r="F52" s="24">
        <f>F51+E52</f>
        <v/>
      </c>
    </row>
    <row r="53">
      <c r="A53" s="23" t="n">
        <v>6</v>
      </c>
      <c r="B53" s="24">
        <f>ROUND($B$15*(1+$B$12)^(6-1),0)-$B$16</f>
        <v/>
      </c>
      <c r="C53" s="24">
        <f>C52+B53</f>
        <v/>
      </c>
      <c r="D53" s="25">
        <f>IFERROR(C53/$B$9,"")</f>
        <v/>
      </c>
      <c r="E53" s="24">
        <f>ROUND($B$5*12*(1+$B$12)^(6-1),0)-$B$16</f>
        <v/>
      </c>
      <c r="F53" s="24">
        <f>F52+E53</f>
        <v/>
      </c>
    </row>
    <row r="54">
      <c r="A54" s="23" t="n">
        <v>7</v>
      </c>
      <c r="B54" s="24">
        <f>ROUND($B$15*(1+$B$12)^(7-1),0)-$B$16</f>
        <v/>
      </c>
      <c r="C54" s="24">
        <f>C53+B54</f>
        <v/>
      </c>
      <c r="D54" s="25">
        <f>IFERROR(C54/$B$9,"")</f>
        <v/>
      </c>
      <c r="E54" s="24">
        <f>ROUND($B$5*12*(1+$B$12)^(7-1),0)-$B$16</f>
        <v/>
      </c>
      <c r="F54" s="24">
        <f>F53+E54</f>
        <v/>
      </c>
    </row>
    <row r="55">
      <c r="A55" s="23" t="n">
        <v>8</v>
      </c>
      <c r="B55" s="24">
        <f>ROUND($B$15*(1+$B$12)^(8-1),0)-$B$16</f>
        <v/>
      </c>
      <c r="C55" s="24">
        <f>C54+B55</f>
        <v/>
      </c>
      <c r="D55" s="25">
        <f>IFERROR(C55/$B$9,"")</f>
        <v/>
      </c>
      <c r="E55" s="24">
        <f>ROUND($B$5*12*(1+$B$12)^(8-1),0)-$B$16</f>
        <v/>
      </c>
      <c r="F55" s="24">
        <f>F54+E55</f>
        <v/>
      </c>
    </row>
    <row r="56">
      <c r="A56" s="23" t="n">
        <v>9</v>
      </c>
      <c r="B56" s="24">
        <f>ROUND($B$15*(1+$B$12)^(9-1),0)-$B$16</f>
        <v/>
      </c>
      <c r="C56" s="24">
        <f>C55+B56</f>
        <v/>
      </c>
      <c r="D56" s="25">
        <f>IFERROR(C56/$B$9,"")</f>
        <v/>
      </c>
      <c r="E56" s="24">
        <f>ROUND($B$5*12*(1+$B$12)^(9-1),0)-$B$16</f>
        <v/>
      </c>
      <c r="F56" s="24">
        <f>F55+E56</f>
        <v/>
      </c>
    </row>
    <row r="57">
      <c r="A57" s="23" t="n">
        <v>10</v>
      </c>
      <c r="B57" s="24">
        <f>ROUND($B$15*(1+$B$12)^(10-1),0)-$B$16</f>
        <v/>
      </c>
      <c r="C57" s="24">
        <f>C56+B57</f>
        <v/>
      </c>
      <c r="D57" s="25">
        <f>IFERROR(C57/$B$9,"")</f>
        <v/>
      </c>
      <c r="E57" s="24">
        <f>ROUND($B$5*12*(1+$B$12)^(10-1),0)-$B$16</f>
        <v/>
      </c>
      <c r="F57" s="24">
        <f>F56+E57</f>
        <v/>
      </c>
    </row>
    <row r="59">
      <c r="A59" s="6" t="inlineStr">
        <is>
          <t>초록색으로 칠해진 줄 = 그 해에 원금을 다 갚을 수 있다는 뜻 (성과급 포함 기준)</t>
        </is>
      </c>
    </row>
    <row r="60">
      <c r="A60" s="6" t="inlineStr">
        <is>
          <t>E·F열은 성과급이 한 푼도 안 나온다고 가정한 경우입니다. 이 둘의 차이가 곧 성과급 의존도입니다.</t>
        </is>
      </c>
    </row>
    <row r="61">
      <c r="A61" s="6" t="inlineStr">
        <is>
          <t>연간 잉여는 소득에만 상승률을 적용하고 지출은 고정으로 둡니다 (보수적 추정).</t>
        </is>
      </c>
    </row>
    <row r="63">
      <c r="A63" s="26" t="inlineStr">
        <is>
          <t>※ 사전 점검용 추산입니다. 실제 과세 판단은 개별 사실관계에 좌우되므로 실행 전 세무대리인 확인을 권합니다.</t>
        </is>
      </c>
    </row>
  </sheetData>
  <mergeCells count="6">
    <mergeCell ref="A42:C42"/>
    <mergeCell ref="A63:F63"/>
    <mergeCell ref="A44:C44"/>
    <mergeCell ref="A1:C1"/>
    <mergeCell ref="A43:C43"/>
    <mergeCell ref="A2:C2"/>
  </mergeCells>
  <conditionalFormatting sqref="B27">
    <cfRule type="expression" priority="1" dxfId="0">
      <formula>ISNUMBER(SEARCH("충분",B27))</formula>
    </cfRule>
    <cfRule type="expression" priority="2" dxfId="1">
      <formula>ISNUMBER(SEARCH("주의",B27))</formula>
    </cfRule>
    <cfRule type="expression" priority="3" dxfId="2">
      <formula>ISNUMBER(SEARCH("부족",B27))</formula>
    </cfRule>
  </conditionalFormatting>
  <conditionalFormatting sqref="B19">
    <cfRule type="cellIs" priority="4" operator="greaterThanOrEqual" dxfId="3">
      <formula>1.2</formula>
    </cfRule>
    <cfRule type="cellIs" priority="5" operator="lessThan" dxfId="4">
      <formula>1</formula>
    </cfRule>
  </conditionalFormatting>
  <conditionalFormatting sqref="B25">
    <cfRule type="cellIs" priority="6" operator="greaterThanOrEqual" dxfId="3">
      <formula>1.2</formula>
    </cfRule>
    <cfRule type="cellIs" priority="7" operator="lessThan" dxfId="4">
      <formula>1</formula>
    </cfRule>
  </conditionalFormatting>
  <conditionalFormatting sqref="B17">
    <cfRule type="cellIs" priority="8" operator="lessThan" dxfId="5">
      <formula>0</formula>
    </cfRule>
  </conditionalFormatting>
  <conditionalFormatting sqref="B23">
    <cfRule type="cellIs" priority="9" operator="lessThan" dxfId="5">
      <formula>0</formula>
    </cfRule>
  </conditionalFormatting>
  <conditionalFormatting sqref="E48:F57">
    <cfRule type="cellIs" priority="10" operator="lessThan" dxfId="5">
      <formula>0</formula>
    </cfRule>
  </conditionalFormatting>
  <conditionalFormatting sqref="B22">
    <cfRule type="cellIs" priority="11" operator="greaterThanOrEqual" dxfId="6">
      <formula>0.3</formula>
    </cfRule>
  </conditionalFormatting>
  <conditionalFormatting sqref="B31">
    <cfRule type="expression" priority="12" dxfId="2">
      <formula>ISNUMBER(SEARCH("과세 대상",B31))</formula>
    </cfRule>
  </conditionalFormatting>
  <conditionalFormatting sqref="B33">
    <cfRule type="cellIs" priority="13" operator="greaterThan" dxfId="4">
      <formula>1</formula>
    </cfRule>
    <cfRule type="cellIs" priority="14" operator="between" dxfId="6">
      <formula>0.95</formula>
      <formula>1</formula>
    </cfRule>
  </conditionalFormatting>
  <conditionalFormatting sqref="A48:F57">
    <cfRule type="expression" priority="15" dxfId="3">
      <formula>$C48&gt;=$B$9</formula>
    </cfRule>
  </conditionalFormatting>
  <dataValidations count="3">
    <dataValidation sqref="B5 B6 B7 B8 B9" showDropDown="0" showInputMessage="0" showErrorMessage="0" allowBlank="0" error="0 이상의 숫자를 입력하세요." type="decimal" operator="greaterThanOrEqual">
      <formula1>0</formula1>
    </dataValidation>
    <dataValidation sqref="B10" showDropDown="0" showInputMessage="0" showErrorMessage="0" allowBlank="0" error="1~10년 사이로 입력하세요." type="whole" operator="between">
      <formula1>1</formula1>
      <formula2>10</formula2>
    </dataValidation>
    <dataValidation sqref="B11 B12" showDropDown="0" showInputMessage="0" showErrorMessage="0" allowBlank="0" error="0% ~ 100% 사이로 입력하세요." type="decimal" operator="between">
      <formula1>0</formula1>
      <formula2>1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2026-09-15T13:25:15Z</dcterms:created>
  <dcterms:modified xsi:type="dcterms:W3CDTF">2026-09-15T13:25:15Z</dcterms:modified>
</cp:coreProperties>
</file>