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CI_차용검증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2025.7~2026.6 </t>
        </r>
        <r>
          <rPr>
            <sz val="10"/>
            <rFont val="WenQuanYi Zen Hei"/>
            <family val="2"/>
          </rPr>
          <t xml:space="preserve">적용 국민연금 기준소득월액 상한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매년 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WenQuanYi Zen Hei"/>
            <family val="2"/>
          </rPr>
          <t xml:space="preserve">월 고시 변경 — 국민연금공단 공고 확인 필요</t>
        </r>
        <r>
          <rPr>
            <sz val="10"/>
            <rFont val="Arial"/>
            <family val="2"/>
          </rPr>
          <t xml:space="preserve">.</t>
        </r>
      </text>
    </comment>
    <comment ref="B16" authorId="0">
      <text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년 건강보험료율 </t>
        </r>
        <r>
          <rPr>
            <sz val="10"/>
            <rFont val="Arial"/>
            <family val="2"/>
          </rPr>
          <t xml:space="preserve">7.09%</t>
        </r>
        <r>
          <rPr>
            <sz val="10"/>
            <rFont val="WenQuanYi Zen Hei"/>
            <family val="2"/>
          </rPr>
          <t xml:space="preserve">의 근로자 부담분 절반</t>
        </r>
        <r>
          <rPr>
            <sz val="10"/>
            <rFont val="Arial"/>
            <family val="2"/>
          </rPr>
          <t xml:space="preserve">.</t>
        </r>
      </text>
    </comment>
    <comment ref="B17" authorId="0">
      <text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년 장기요양보험료율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건강보험료 대비</t>
        </r>
        <r>
          <rPr>
            <sz val="10"/>
            <rFont val="Arial"/>
            <family val="2"/>
          </rPr>
          <t xml:space="preserve">).</t>
        </r>
      </text>
    </comment>
    <comment ref="B19" authorId="0">
      <text>
        <r>
          <rPr>
            <sz val="10"/>
            <rFont val="WenQuanYi Zen Hei"/>
            <family val="2"/>
          </rPr>
          <t xml:space="preserve">간이세액표 기반 추산 예시값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정확도를 높이려면 전년도 근로소득 원천징수영수증의 결정세액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WenQuanYi Zen Hei"/>
            <family val="2"/>
          </rPr>
          <t xml:space="preserve">총급여로 역산해 입력하세요</t>
        </r>
        <r>
          <rPr>
            <sz val="10"/>
            <rFont val="Arial"/>
            <family val="2"/>
          </rPr>
          <t xml:space="preserve">.</t>
        </r>
      </text>
    </comment>
    <comment ref="B20" authorId="0">
      <text>
        <r>
          <rPr>
            <sz val="10"/>
            <rFont val="WenQuanYi Zen Hei"/>
            <family val="2"/>
          </rPr>
          <t xml:space="preserve">과세표준 </t>
        </r>
        <r>
          <rPr>
            <sz val="10"/>
            <rFont val="Arial"/>
            <family val="2"/>
          </rPr>
          <t xml:space="preserve">8,800</t>
        </r>
        <r>
          <rPr>
            <sz val="10"/>
            <rFont val="WenQuanYi Zen Hei"/>
            <family val="2"/>
          </rPr>
          <t xml:space="preserve">만</t>
        </r>
        <r>
          <rPr>
            <sz val="10"/>
            <rFont val="Arial"/>
            <family val="2"/>
          </rPr>
          <t xml:space="preserve">~1.5</t>
        </r>
        <r>
          <rPr>
            <sz val="10"/>
            <rFont val="WenQuanYi Zen Hei"/>
            <family val="2"/>
          </rPr>
          <t xml:space="preserve">억 구간 세율 </t>
        </r>
        <r>
          <rPr>
            <sz val="10"/>
            <rFont val="Arial"/>
            <family val="2"/>
          </rPr>
          <t xml:space="preserve">35% + </t>
        </r>
        <r>
          <rPr>
            <sz val="10"/>
            <rFont val="WenQuanYi Zen Hei"/>
            <family val="2"/>
          </rPr>
          <t xml:space="preserve">지방소득세 </t>
        </r>
        <r>
          <rPr>
            <sz val="10"/>
            <rFont val="Arial"/>
            <family val="2"/>
          </rPr>
          <t xml:space="preserve">3.5% </t>
        </r>
        <r>
          <rPr>
            <sz val="10"/>
            <rFont val="WenQuanYi Zen Hei"/>
            <family val="2"/>
          </rPr>
          <t xml:space="preserve">가정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본인 과표 구간에 맞게 수정하세요</t>
        </r>
        <r>
          <rPr>
            <sz val="10"/>
            <rFont val="Arial"/>
            <family val="2"/>
          </rPr>
          <t xml:space="preserve">.</t>
        </r>
      </text>
    </comment>
    <comment ref="B47" authorId="0">
      <text>
        <r>
          <rPr>
            <sz val="10"/>
            <rFont val="WenQuanYi Zen Hei"/>
            <family val="2"/>
          </rPr>
          <t xml:space="preserve">상속세 및 증여세법 시행령 제</t>
        </r>
        <r>
          <rPr>
            <sz val="10"/>
            <rFont val="Arial"/>
            <family val="2"/>
          </rPr>
          <t xml:space="preserve">31</t>
        </r>
        <r>
          <rPr>
            <sz val="10"/>
            <rFont val="WenQuanYi Zen Hei"/>
            <family val="2"/>
          </rPr>
          <t xml:space="preserve">조의</t>
        </r>
        <r>
          <rPr>
            <sz val="10"/>
            <rFont val="Arial"/>
            <family val="2"/>
          </rPr>
          <t xml:space="preserve">4 — </t>
        </r>
        <r>
          <rPr>
            <sz val="10"/>
            <rFont val="WenQuanYi Zen Hei"/>
            <family val="2"/>
          </rPr>
          <t xml:space="preserve">금전 무상대출 등에 따른 이익의 증여 시 적정이자율</t>
        </r>
        <r>
          <rPr>
            <sz val="10"/>
            <rFont val="Arial"/>
            <family val="2"/>
          </rPr>
          <t xml:space="preserve">.</t>
        </r>
      </text>
    </comment>
    <comment ref="B48" authorId="0">
      <text>
        <r>
          <rPr>
            <sz val="10"/>
            <rFont val="WenQuanYi Zen Hei"/>
            <family val="2"/>
          </rPr>
          <t xml:space="preserve">상증세법 </t>
        </r>
        <r>
          <rPr>
            <sz val="10"/>
            <rFont val="Arial"/>
            <family val="2"/>
          </rPr>
          <t xml:space="preserve">§41</t>
        </r>
        <r>
          <rPr>
            <sz val="10"/>
            <rFont val="WenQuanYi Zen Hei"/>
            <family val="2"/>
          </rPr>
          <t xml:space="preserve">조의</t>
        </r>
        <r>
          <rPr>
            <sz val="10"/>
            <rFont val="Arial"/>
            <family val="2"/>
          </rPr>
          <t xml:space="preserve">4 — </t>
        </r>
        <r>
          <rPr>
            <sz val="10"/>
            <rFont val="WenQuanYi Zen Hei"/>
            <family val="2"/>
          </rPr>
          <t xml:space="preserve">무상대여 이익이 연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천만원 이상이면 그 이익 전액이 증여재산가액</t>
        </r>
        <r>
          <rPr>
            <sz val="10"/>
            <rFont val="Arial"/>
            <family val="2"/>
          </rPr>
          <t xml:space="preserve">.</t>
        </r>
      </text>
    </comment>
    <comment ref="B49" authorId="0">
      <text>
        <r>
          <rPr>
            <sz val="10"/>
            <rFont val="WenQuanYi Zen Hei"/>
            <family val="2"/>
          </rPr>
          <t xml:space="preserve">비영업대금의 이익 원천징수세율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소득세 </t>
        </r>
        <r>
          <rPr>
            <sz val="10"/>
            <rFont val="Arial"/>
            <family val="2"/>
          </rPr>
          <t xml:space="preserve">25% + </t>
        </r>
        <r>
          <rPr>
            <sz val="10"/>
            <rFont val="WenQuanYi Zen Hei"/>
            <family val="2"/>
          </rPr>
          <t xml:space="preserve">지방소득세 </t>
        </r>
        <r>
          <rPr>
            <sz val="10"/>
            <rFont val="Arial"/>
            <family val="2"/>
          </rPr>
          <t xml:space="preserve">2.5%.</t>
        </r>
      </text>
    </comment>
  </commentList>
</comments>
</file>

<file path=xl/sharedStrings.xml><?xml version="1.0" encoding="utf-8"?>
<sst xmlns="http://schemas.openxmlformats.org/spreadsheetml/2006/main" count="184" uniqueCount="172">
  <si>
    <r>
      <rPr>
        <b val="true"/>
        <sz val="13"/>
        <color rgb="FFFFFFFF"/>
        <rFont val="WenQuanYi Zen Hei"/>
        <family val="2"/>
      </rPr>
      <t xml:space="preserve">개인 간 차용 및 상환능력 검증 </t>
    </r>
    <r>
      <rPr>
        <b val="true"/>
        <sz val="13"/>
        <color rgb="FFFFFFFF"/>
        <rFont val="Arial"/>
        <family val="0"/>
        <charset val="1"/>
      </rPr>
      <t xml:space="preserve">(PCI </t>
    </r>
    <r>
      <rPr>
        <b val="true"/>
        <sz val="13"/>
        <color rgb="FFFFFFFF"/>
        <rFont val="WenQuanYi Zen Hei"/>
        <family val="2"/>
      </rPr>
      <t xml:space="preserve">세무 리스크 사전 점검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</si>
  <si>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작성 기준일</t>
  </si>
  <si>
    <t xml:space="preserve">■ 범례 — 읽는 법</t>
  </si>
  <si>
    <r>
      <rPr>
        <sz val="11"/>
        <color theme="1"/>
        <rFont val="WenQuanYi Zen Hei"/>
        <family val="2"/>
      </rPr>
      <t xml:space="preserve">차입자 </t>
    </r>
    <r>
      <rPr>
        <sz val="11"/>
        <color theme="1"/>
        <rFont val="Arial"/>
        <family val="0"/>
        <charset val="1"/>
      </rPr>
      <t xml:space="preserve">/ </t>
    </r>
    <r>
      <rPr>
        <sz val="11"/>
        <color theme="1"/>
        <rFont val="WenQuanYi Zen Hei"/>
        <family val="2"/>
      </rPr>
      <t xml:space="preserve">대여자</t>
    </r>
  </si>
  <si>
    <r>
      <rPr>
        <b val="true"/>
        <sz val="11"/>
        <rFont val="WenQuanYi Zen Hei"/>
        <family val="2"/>
      </rPr>
      <t xml:space="preserve">봄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종호</t>
    </r>
  </si>
  <si>
    <r>
      <rPr>
        <sz val="9"/>
        <color rgb="FF7F7F7F"/>
        <rFont val="WenQuanYi Zen Hei"/>
        <family val="2"/>
      </rPr>
      <t xml:space="preserve">차입자 </t>
    </r>
    <r>
      <rPr>
        <sz val="9"/>
        <color rgb="FF7F7F7F"/>
        <rFont val="Arial"/>
        <family val="0"/>
        <charset val="1"/>
      </rPr>
      <t xml:space="preserve">= </t>
    </r>
    <r>
      <rPr>
        <sz val="9"/>
        <color rgb="FF7F7F7F"/>
        <rFont val="WenQuanYi Zen Hei"/>
        <family val="2"/>
      </rPr>
      <t xml:space="preserve">돈을 빌리는 사람</t>
    </r>
  </si>
  <si>
    <t xml:space="preserve">입력 셀 — 여기만 고치면 됩니다</t>
  </si>
  <si>
    <t xml:space="preserve">자동 계산 — 건드리지 마세요</t>
  </si>
  <si>
    <r>
      <rPr>
        <b val="true"/>
        <sz val="11"/>
        <rFont val="Arial"/>
        <family val="0"/>
        <charset val="1"/>
      </rPr>
      <t xml:space="preserve">■ 1. </t>
    </r>
    <r>
      <rPr>
        <b val="true"/>
        <sz val="11"/>
        <rFont val="WenQuanYi Zen Hei"/>
        <family val="2"/>
      </rPr>
      <t xml:space="preserve">소득 정보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입력</t>
    </r>
    <r>
      <rPr>
        <b val="true"/>
        <sz val="11"/>
        <rFont val="Arial"/>
        <family val="0"/>
        <charset val="1"/>
      </rPr>
      <t xml:space="preserve">]</t>
    </r>
  </si>
  <si>
    <t xml:space="preserve">판정 결과</t>
  </si>
  <si>
    <r>
      <rPr>
        <sz val="11"/>
        <color theme="1"/>
        <rFont val="WenQuanYi Zen Hei"/>
        <family val="2"/>
      </rPr>
      <t xml:space="preserve">기본 연봉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세전</t>
    </r>
    <r>
      <rPr>
        <sz val="11"/>
        <color theme="1"/>
        <rFont val="Arial"/>
        <family val="0"/>
        <charset val="1"/>
      </rPr>
      <t xml:space="preserve">)</t>
    </r>
  </si>
  <si>
    <t xml:space="preserve">근로계약서 기준 — 예시값</t>
  </si>
  <si>
    <t xml:space="preserve">세무 리스크 진단</t>
  </si>
  <si>
    <r>
      <rPr>
        <sz val="11"/>
        <color theme="1"/>
        <rFont val="WenQuanYi Zen Hei"/>
        <family val="2"/>
      </rPr>
      <t xml:space="preserve">연간 예상 성과상여금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세전</t>
    </r>
    <r>
      <rPr>
        <sz val="11"/>
        <color theme="1"/>
        <rFont val="Arial"/>
        <family val="0"/>
        <charset val="1"/>
      </rPr>
      <t xml:space="preserve">)</t>
    </r>
  </si>
  <si>
    <t xml:space="preserve">변동 재원 — 판정에서 별도 취급</t>
  </si>
  <si>
    <r>
      <rPr>
        <sz val="11"/>
        <color theme="1"/>
        <rFont val="WenQuanYi Zen Hei"/>
        <family val="2"/>
      </rPr>
      <t xml:space="preserve">비과세 식대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</si>
  <si>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월 </t>
    </r>
    <r>
      <rPr>
        <sz val="9"/>
        <color rgb="FF7F7F7F"/>
        <rFont val="Arial"/>
        <family val="0"/>
        <charset val="1"/>
      </rPr>
      <t xml:space="preserve">20</t>
    </r>
    <r>
      <rPr>
        <sz val="9"/>
        <color rgb="FF7F7F7F"/>
        <rFont val="WenQuanYi Zen Hei"/>
        <family val="2"/>
      </rPr>
      <t xml:space="preserve">만원 한도</t>
    </r>
  </si>
  <si>
    <r>
      <rPr>
        <sz val="9"/>
        <color rgb="FF7F7F7F"/>
        <rFont val="WenQuanYi Zen Hei"/>
        <family val="2"/>
      </rPr>
      <t xml:space="preserve">요율은 </t>
    </r>
    <r>
      <rPr>
        <sz val="9"/>
        <color rgb="FF7F7F7F"/>
        <rFont val="Arial"/>
        <family val="0"/>
        <charset val="1"/>
      </rPr>
      <t xml:space="preserve">B14:B20, </t>
    </r>
    <r>
      <rPr>
        <sz val="9"/>
        <color rgb="FF7F7F7F"/>
        <rFont val="WenQuanYi Zen Hei"/>
        <family val="2"/>
      </rPr>
      <t xml:space="preserve">법정 기준값은 </t>
    </r>
    <r>
      <rPr>
        <sz val="9"/>
        <color rgb="FF7F7F7F"/>
        <rFont val="Arial"/>
        <family val="0"/>
        <charset val="1"/>
      </rPr>
      <t xml:space="preserve">B47:B49</t>
    </r>
    <r>
      <rPr>
        <sz val="9"/>
        <color rgb="FF7F7F7F"/>
        <rFont val="WenQuanYi Zen Hei"/>
        <family val="2"/>
      </rPr>
      <t xml:space="preserve">에서 수정하세요</t>
    </r>
    <r>
      <rPr>
        <sz val="9"/>
        <color rgb="FF7F7F7F"/>
        <rFont val="Arial"/>
        <family val="0"/>
        <charset val="1"/>
      </rPr>
      <t xml:space="preserve">.</t>
    </r>
  </si>
  <si>
    <t xml:space="preserve">연간 급여 상승률</t>
  </si>
  <si>
    <t xml:space="preserve">연도별 시뮬레이션에 반영</t>
  </si>
  <si>
    <r>
      <rPr>
        <sz val="9"/>
        <color rgb="FF7F7F7F"/>
        <rFont val="WenQuanYi Zen Hei"/>
        <family val="2"/>
      </rPr>
      <t xml:space="preserve">현재 채워진 숫자는 형식을 보여주는 예시값입니다</t>
    </r>
    <r>
      <rPr>
        <sz val="9"/>
        <color rgb="FF7F7F7F"/>
        <rFont val="Arial"/>
        <family val="0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</si>
  <si>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성과급 반영률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시나리오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</si>
  <si>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보수적 점검은 </t>
    </r>
    <r>
      <rPr>
        <sz val="9"/>
        <color rgb="FF7F7F7F"/>
        <rFont val="Arial"/>
        <family val="0"/>
        <charset val="1"/>
      </rPr>
      <t xml:space="preserve">50% </t>
    </r>
    <r>
      <rPr>
        <sz val="9"/>
        <color rgb="FF7F7F7F"/>
        <rFont val="WenQuanYi Zen Hei"/>
        <family val="2"/>
      </rPr>
      <t xml:space="preserve">또는 </t>
    </r>
    <r>
      <rPr>
        <sz val="9"/>
        <color rgb="FF7F7F7F"/>
        <rFont val="Arial"/>
        <family val="0"/>
        <charset val="1"/>
      </rPr>
      <t xml:space="preserve">0%</t>
    </r>
  </si>
  <si>
    <r>
      <rPr>
        <sz val="11"/>
        <color theme="1"/>
        <rFont val="WenQuanYi Zen Hei"/>
        <family val="2"/>
      </rPr>
      <t xml:space="preserve">식대가 </t>
    </r>
    <r>
      <rPr>
        <sz val="11"/>
        <color theme="1"/>
        <rFont val="Arial"/>
        <family val="0"/>
        <charset val="1"/>
      </rPr>
      <t xml:space="preserve">B6</t>
    </r>
    <r>
      <rPr>
        <sz val="11"/>
        <color theme="1"/>
        <rFont val="WenQuanYi Zen Hei"/>
        <family val="2"/>
      </rPr>
      <t xml:space="preserve">에 포함되어 있는가</t>
    </r>
    <r>
      <rPr>
        <sz val="11"/>
        <color theme="1"/>
        <rFont val="Arial"/>
        <family val="0"/>
        <charset val="1"/>
      </rPr>
      <t xml:space="preserve">?</t>
    </r>
  </si>
  <si>
    <t xml:space="preserve">포함</t>
  </si>
  <si>
    <r>
      <rPr>
        <sz val="9"/>
        <color rgb="FF7F7F7F"/>
        <rFont val="WenQuanYi Zen Hei"/>
        <family val="2"/>
      </rPr>
      <t xml:space="preserve">드롭다운</t>
    </r>
    <r>
      <rPr>
        <sz val="9"/>
        <color rgb="FF7F7F7F"/>
        <rFont val="Arial"/>
        <family val="0"/>
        <charset val="1"/>
      </rPr>
      <t xml:space="preserve">: </t>
    </r>
    <r>
      <rPr>
        <sz val="9"/>
        <color rgb="FF7F7F7F"/>
        <rFont val="WenQuanYi Zen Hei"/>
        <family val="2"/>
      </rPr>
      <t xml:space="preserve">포함 </t>
    </r>
    <r>
      <rPr>
        <sz val="9"/>
        <color rgb="FF7F7F7F"/>
        <rFont val="Arial"/>
        <family val="0"/>
        <charset val="1"/>
      </rPr>
      <t xml:space="preserve">/ </t>
    </r>
    <r>
      <rPr>
        <sz val="9"/>
        <color rgb="FF7F7F7F"/>
        <rFont val="WenQuanYi Zen Hei"/>
        <family val="2"/>
      </rPr>
      <t xml:space="preserve">미포함</t>
    </r>
  </si>
  <si>
    <r>
      <rPr>
        <b val="true"/>
        <sz val="11"/>
        <rFont val="Arial"/>
        <family val="0"/>
        <charset val="1"/>
      </rPr>
      <t xml:space="preserve">■ 2. </t>
    </r>
    <r>
      <rPr>
        <b val="true"/>
        <sz val="11"/>
        <rFont val="WenQuanYi Zen Hei"/>
        <family val="2"/>
      </rPr>
      <t xml:space="preserve">세</t>
    </r>
    <r>
      <rPr>
        <b val="true"/>
        <sz val="11"/>
        <rFont val="Arial"/>
        <family val="0"/>
        <charset val="1"/>
      </rPr>
      <t xml:space="preserve">·4</t>
    </r>
    <r>
      <rPr>
        <b val="true"/>
        <sz val="11"/>
        <rFont val="WenQuanYi Zen Hei"/>
        <family val="2"/>
      </rPr>
      <t xml:space="preserve">대보험 요율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입력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WenQuanYi Zen Hei"/>
        <family val="2"/>
      </rPr>
      <t xml:space="preserve">매년 고시값 확인</t>
    </r>
    <r>
      <rPr>
        <b val="true"/>
        <sz val="11"/>
        <rFont val="Arial"/>
        <family val="0"/>
        <charset val="1"/>
      </rPr>
      <t xml:space="preserve">]</t>
    </r>
  </si>
  <si>
    <r>
      <rPr>
        <sz val="11"/>
        <color theme="1"/>
        <rFont val="WenQuanYi Zen Hei"/>
        <family val="2"/>
      </rPr>
      <t xml:space="preserve">국민연금 요율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근로자</t>
    </r>
    <r>
      <rPr>
        <sz val="11"/>
        <color theme="1"/>
        <rFont val="Arial"/>
        <family val="0"/>
        <charset val="1"/>
      </rPr>
      <t xml:space="preserve">)</t>
    </r>
  </si>
  <si>
    <t xml:space="preserve">국민연금 기준소득월액 상한</t>
  </si>
  <si>
    <r>
      <rPr>
        <sz val="9"/>
        <color rgb="FF7F7F7F"/>
        <rFont val="WenQuanYi Zen Hei"/>
        <family val="2"/>
      </rPr>
      <t xml:space="preserve">매년 </t>
    </r>
    <r>
      <rPr>
        <sz val="9"/>
        <color rgb="FF7F7F7F"/>
        <rFont val="Arial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월 변동 — 반드시 확인</t>
    </r>
  </si>
  <si>
    <r>
      <rPr>
        <sz val="11"/>
        <color theme="1"/>
        <rFont val="WenQuanYi Zen Hei"/>
        <family val="2"/>
      </rPr>
      <t xml:space="preserve">건강보험 요율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근로자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</si>
  <si>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장기요양보험 요율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건보료 대비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</si>
  <si>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건강보험료 </t>
    </r>
    <r>
      <rPr>
        <sz val="9"/>
        <color rgb="FF7F7F7F"/>
        <rFont val="Arial"/>
        <family val="0"/>
        <charset val="1"/>
      </rPr>
      <t xml:space="preserve">× </t>
    </r>
    <r>
      <rPr>
        <sz val="9"/>
        <color rgb="FF7F7F7F"/>
        <rFont val="WenQuanYi Zen Hei"/>
        <family val="2"/>
      </rPr>
      <t xml:space="preserve">이 요율</t>
    </r>
  </si>
  <si>
    <r>
      <rPr>
        <sz val="11"/>
        <color theme="1"/>
        <rFont val="WenQuanYi Zen Hei"/>
        <family val="2"/>
      </rPr>
      <t xml:space="preserve">고용보험 요율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근로자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</si>
  <si>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기본급 근로소득세 실효세율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지방세 포함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</si>
  <si>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원천징수영수증 결정세액 </t>
    </r>
    <r>
      <rPr>
        <sz val="9"/>
        <color rgb="FF7F7F7F"/>
        <rFont val="Arial"/>
        <family val="0"/>
        <charset val="1"/>
      </rPr>
      <t xml:space="preserve">÷ </t>
    </r>
    <r>
      <rPr>
        <sz val="9"/>
        <color rgb="FF7F7F7F"/>
        <rFont val="WenQuanYi Zen Hei"/>
        <family val="2"/>
      </rPr>
      <t xml:space="preserve">총급여로 역산 권장</t>
    </r>
  </si>
  <si>
    <r>
      <rPr>
        <sz val="11"/>
        <color theme="1"/>
        <rFont val="WenQuanYi Zen Hei"/>
        <family val="2"/>
      </rPr>
      <t xml:space="preserve">상여금 적용 세율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지방세 포함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</si>
  <si>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과표 </t>
    </r>
    <r>
      <rPr>
        <sz val="9"/>
        <color rgb="FF7F7F7F"/>
        <rFont val="Arial"/>
        <family val="0"/>
        <charset val="1"/>
      </rPr>
      <t xml:space="preserve">35% </t>
    </r>
    <r>
      <rPr>
        <sz val="9"/>
        <color rgb="FF7F7F7F"/>
        <rFont val="WenQuanYi Zen Hei"/>
        <family val="2"/>
      </rPr>
      <t xml:space="preserve">구간 </t>
    </r>
    <r>
      <rPr>
        <sz val="9"/>
        <color rgb="FF7F7F7F"/>
        <rFont val="Arial"/>
        <family val="0"/>
        <charset val="1"/>
      </rPr>
      <t xml:space="preserve">+ </t>
    </r>
    <r>
      <rPr>
        <sz val="9"/>
        <color rgb="FF7F7F7F"/>
        <rFont val="WenQuanYi Zen Hei"/>
        <family val="2"/>
      </rPr>
      <t xml:space="preserve">지방소득세 </t>
    </r>
    <r>
      <rPr>
        <sz val="9"/>
        <color rgb="FF7F7F7F"/>
        <rFont val="Arial"/>
        <family val="0"/>
        <charset val="1"/>
      </rPr>
      <t xml:space="preserve">3.5%</t>
    </r>
  </si>
  <si>
    <r>
      <rPr>
        <b val="true"/>
        <sz val="11"/>
        <rFont val="Arial"/>
        <family val="0"/>
        <charset val="1"/>
      </rPr>
      <t xml:space="preserve">■ 3. </t>
    </r>
    <r>
      <rPr>
        <b val="true"/>
        <sz val="11"/>
        <rFont val="WenQuanYi Zen Hei"/>
        <family val="2"/>
      </rPr>
      <t xml:space="preserve">금융 부채 상환 정보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입력</t>
    </r>
    <r>
      <rPr>
        <b val="true"/>
        <sz val="11"/>
        <rFont val="Arial"/>
        <family val="0"/>
        <charset val="1"/>
      </rPr>
      <t xml:space="preserve">]</t>
    </r>
  </si>
  <si>
    <t xml:space="preserve">주택담보대출 월 상환액</t>
  </si>
  <si>
    <t xml:space="preserve">원리금균등 기준</t>
  </si>
  <si>
    <t xml:space="preserve">  └ 잔여 상환 개월수</t>
  </si>
  <si>
    <t xml:space="preserve">만기까지 남은 개월</t>
  </si>
  <si>
    <r>
      <rPr>
        <sz val="11"/>
        <color theme="1"/>
        <rFont val="WenQuanYi Zen Hei"/>
        <family val="2"/>
      </rPr>
      <t xml:space="preserve">기타 대출 </t>
    </r>
    <r>
      <rPr>
        <sz val="11"/>
        <color theme="1"/>
        <rFont val="Arial"/>
        <family val="0"/>
        <charset val="1"/>
      </rPr>
      <t xml:space="preserve">A </t>
    </r>
    <r>
      <rPr>
        <sz val="11"/>
        <color theme="1"/>
        <rFont val="WenQuanYi Zen Hei"/>
        <family val="2"/>
      </rPr>
      <t xml:space="preserve">월 상환액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회사 대출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</si>
  <si>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원금</t>
    </r>
    <r>
      <rPr>
        <sz val="9"/>
        <color rgb="FF7F7F7F"/>
        <rFont val="Arial"/>
        <family val="0"/>
        <charset val="1"/>
      </rPr>
      <t xml:space="preserve">+</t>
    </r>
    <r>
      <rPr>
        <sz val="9"/>
        <color rgb="FF7F7F7F"/>
        <rFont val="WenQuanYi Zen Hei"/>
        <family val="2"/>
      </rPr>
      <t xml:space="preserve">이자</t>
    </r>
  </si>
  <si>
    <r>
      <rPr>
        <sz val="11"/>
        <color theme="1"/>
        <rFont val="WenQuanYi Zen Hei"/>
        <family val="2"/>
      </rPr>
      <t xml:space="preserve">기타 대출 </t>
    </r>
    <r>
      <rPr>
        <sz val="11"/>
        <color theme="1"/>
        <rFont val="Arial"/>
        <family val="0"/>
        <charset val="1"/>
      </rPr>
      <t xml:space="preserve">B </t>
    </r>
    <r>
      <rPr>
        <sz val="11"/>
        <color theme="1"/>
        <rFont val="WenQuanYi Zen Hei"/>
        <family val="2"/>
      </rPr>
      <t xml:space="preserve">월 상환액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신협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WenQuanYi Zen Hei"/>
        <family val="2"/>
      </rPr>
      <t xml:space="preserve">신용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</si>
  <si>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월 부채상환 합계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현재</t>
    </r>
    <r>
      <rPr>
        <sz val="11"/>
        <color theme="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</si>
  <si>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■ 4. </t>
    </r>
    <r>
      <rPr>
        <b val="true"/>
        <sz val="11"/>
        <rFont val="WenQuanYi Zen Hei"/>
        <family val="2"/>
      </rPr>
      <t xml:space="preserve">차입자 필수 생활비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입력</t>
    </r>
    <r>
      <rPr>
        <b val="true"/>
        <sz val="11"/>
        <rFont val="Arial"/>
        <family val="0"/>
        <charset val="1"/>
      </rPr>
      <t xml:space="preserve">]</t>
    </r>
  </si>
  <si>
    <r>
      <rPr>
        <sz val="11"/>
        <color theme="1"/>
        <rFont val="WenQuanYi Zen Hei"/>
        <family val="2"/>
      </rPr>
      <t xml:space="preserve">월 고정비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통신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WenQuanYi Zen Hei"/>
        <family val="2"/>
      </rPr>
      <t xml:space="preserve">보험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WenQuanYi Zen Hei"/>
        <family val="2"/>
      </rPr>
      <t xml:space="preserve">교통 등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</si>
  <si>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차입자 명의 카드</t>
    </r>
    <r>
      <rPr>
        <sz val="9"/>
        <color rgb="FF7F7F7F"/>
        <rFont val="Arial"/>
        <family val="0"/>
        <charset val="1"/>
      </rPr>
      <t xml:space="preserve">/</t>
    </r>
    <r>
      <rPr>
        <sz val="9"/>
        <color rgb="FF7F7F7F"/>
        <rFont val="WenQuanYi Zen Hei"/>
        <family val="2"/>
      </rPr>
      <t xml:space="preserve">계좌 기준</t>
    </r>
  </si>
  <si>
    <r>
      <rPr>
        <sz val="11"/>
        <color theme="1"/>
        <rFont val="WenQuanYi Zen Hei"/>
        <family val="2"/>
      </rPr>
      <t xml:space="preserve">월 변동비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식대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WenQuanYi Zen Hei"/>
        <family val="2"/>
      </rPr>
      <t xml:space="preserve">카페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WenQuanYi Zen Hei"/>
        <family val="2"/>
      </rPr>
      <t xml:space="preserve">개인 소비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</si>
  <si>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최근 </t>
    </r>
    <r>
      <rPr>
        <sz val="9"/>
        <color rgb="FF7F7F7F"/>
        <rFont val="Arial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개월 카드 명세 평균 권장</t>
    </r>
  </si>
  <si>
    <t xml:space="preserve">월 최소 개인 소비액</t>
  </si>
  <si>
    <t xml:space="preserve">연간 소비 증가율</t>
  </si>
  <si>
    <t xml:space="preserve">물가 반영</t>
  </si>
  <si>
    <r>
      <rPr>
        <b val="true"/>
        <sz val="11"/>
        <rFont val="Arial"/>
        <family val="0"/>
        <charset val="1"/>
      </rPr>
      <t xml:space="preserve">■ 5. </t>
    </r>
    <r>
      <rPr>
        <b val="true"/>
        <sz val="11"/>
        <rFont val="WenQuanYi Zen Hei"/>
        <family val="2"/>
      </rPr>
      <t xml:space="preserve">개인 간 차용 조건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입력</t>
    </r>
    <r>
      <rPr>
        <b val="true"/>
        <sz val="11"/>
        <rFont val="Arial"/>
        <family val="0"/>
        <charset val="1"/>
      </rPr>
      <t xml:space="preserve">]</t>
    </r>
  </si>
  <si>
    <t xml:space="preserve">차용 원금</t>
  </si>
  <si>
    <t xml:space="preserve">차용 개시일</t>
  </si>
  <si>
    <t xml:space="preserve">2026-01-01</t>
  </si>
  <si>
    <t xml:space="preserve">실제 계좌이체일</t>
  </si>
  <si>
    <r>
      <rPr>
        <sz val="11"/>
        <color theme="1"/>
        <rFont val="WenQuanYi Zen Hei"/>
        <family val="2"/>
      </rPr>
      <t xml:space="preserve">차용 기간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년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</si>
  <si>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Arial"/>
        <family val="0"/>
        <charset val="1"/>
      </rPr>
      <t xml:space="preserve">1~10</t>
    </r>
    <r>
      <rPr>
        <sz val="9"/>
        <color rgb="FF7F7F7F"/>
        <rFont val="WenQuanYi Zen Hei"/>
        <family val="2"/>
      </rPr>
      <t xml:space="preserve">년 </t>
    </r>
    <r>
      <rPr>
        <sz val="9"/>
        <color rgb="FF7F7F7F"/>
        <rFont val="Arial"/>
        <family val="0"/>
        <charset val="1"/>
      </rPr>
      <t xml:space="preserve">(10</t>
    </r>
    <r>
      <rPr>
        <sz val="9"/>
        <color rgb="FF7F7F7F"/>
        <rFont val="WenQuanYi Zen Hei"/>
        <family val="2"/>
      </rPr>
      <t xml:space="preserve">년 초과 시 표 행 추가 필요</t>
    </r>
    <r>
      <rPr>
        <sz val="9"/>
        <color rgb="FF7F7F7F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</si>
  <si>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약정 이자율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연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</si>
  <si>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무이자면 </t>
    </r>
    <r>
      <rPr>
        <sz val="9"/>
        <color rgb="FF7F7F7F"/>
        <rFont val="Arial"/>
        <family val="0"/>
        <charset val="1"/>
      </rPr>
      <t xml:space="preserve">0%</t>
    </r>
  </si>
  <si>
    <t xml:space="preserve">상환 방식</t>
  </si>
  <si>
    <t xml:space="preserve">만기 일시 상환</t>
  </si>
  <si>
    <r>
      <rPr>
        <sz val="9"/>
        <color rgb="FF7F7F7F"/>
        <rFont val="WenQuanYi Zen Hei"/>
        <family val="2"/>
      </rPr>
      <t xml:space="preserve">드롭다운</t>
    </r>
    <r>
      <rPr>
        <sz val="9"/>
        <color rgb="FF7F7F7F"/>
        <rFont val="Arial"/>
        <family val="0"/>
        <charset val="1"/>
      </rPr>
      <t xml:space="preserve">: </t>
    </r>
    <r>
      <rPr>
        <sz val="9"/>
        <color rgb="FF7F7F7F"/>
        <rFont val="WenQuanYi Zen Hei"/>
        <family val="2"/>
      </rPr>
      <t xml:space="preserve">만기 일시 상환 </t>
    </r>
    <r>
      <rPr>
        <sz val="9"/>
        <color rgb="FF7F7F7F"/>
        <rFont val="Arial"/>
        <family val="0"/>
        <charset val="1"/>
      </rPr>
      <t xml:space="preserve">/ </t>
    </r>
    <r>
      <rPr>
        <sz val="9"/>
        <color rgb="FF7F7F7F"/>
        <rFont val="WenQuanYi Zen Hei"/>
        <family val="2"/>
      </rPr>
      <t xml:space="preserve">원금 분할 상환</t>
    </r>
  </si>
  <si>
    <t xml:space="preserve">연간 원금 분할상환액</t>
  </si>
  <si>
    <r>
      <rPr>
        <sz val="9"/>
        <color rgb="FF7F7F7F"/>
        <rFont val="WenQuanYi Zen Hei"/>
        <family val="2"/>
      </rPr>
      <t xml:space="preserve">만기 일시면 </t>
    </r>
    <r>
      <rPr>
        <sz val="9"/>
        <color rgb="FF7F7F7F"/>
        <rFont val="Arial"/>
        <family val="0"/>
        <charset val="1"/>
      </rPr>
      <t xml:space="preserve">0</t>
    </r>
  </si>
  <si>
    <t xml:space="preserve">만기일</t>
  </si>
  <si>
    <r>
      <rPr>
        <b val="true"/>
        <sz val="11"/>
        <rFont val="Arial"/>
        <family val="0"/>
        <charset val="1"/>
      </rPr>
      <t xml:space="preserve">■ 6. </t>
    </r>
    <r>
      <rPr>
        <b val="true"/>
        <sz val="11"/>
        <rFont val="WenQuanYi Zen Hei"/>
        <family val="2"/>
      </rPr>
      <t xml:space="preserve">세법 기준값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입력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WenQuanYi Zen Hei"/>
        <family val="2"/>
      </rPr>
      <t xml:space="preserve">상증세법</t>
    </r>
    <r>
      <rPr>
        <b val="true"/>
        <sz val="11"/>
        <rFont val="Arial"/>
        <family val="0"/>
        <charset val="1"/>
      </rPr>
      <t xml:space="preserve">]</t>
    </r>
  </si>
  <si>
    <t xml:space="preserve">법정 적정 이자율</t>
  </si>
  <si>
    <r>
      <rPr>
        <sz val="9"/>
        <color rgb="FF7F7F7F"/>
        <rFont val="WenQuanYi Zen Hei"/>
        <family val="2"/>
      </rPr>
      <t xml:space="preserve">상증세법 시행령 </t>
    </r>
    <r>
      <rPr>
        <sz val="9"/>
        <color rgb="FF7F7F7F"/>
        <rFont val="Arial"/>
        <family val="0"/>
        <charset val="1"/>
      </rPr>
      <t xml:space="preserve">§31</t>
    </r>
    <r>
      <rPr>
        <sz val="9"/>
        <color rgb="FF7F7F7F"/>
        <rFont val="WenQuanYi Zen Hei"/>
        <family val="2"/>
      </rPr>
      <t xml:space="preserve">조의</t>
    </r>
    <r>
      <rPr>
        <sz val="9"/>
        <color rgb="FF7F7F7F"/>
        <rFont val="Arial"/>
        <family val="0"/>
        <charset val="1"/>
      </rPr>
      <t xml:space="preserve">4</t>
    </r>
  </si>
  <si>
    <r>
      <rPr>
        <sz val="11"/>
        <color theme="1"/>
        <rFont val="WenQuanYi Zen Hei"/>
        <family val="2"/>
      </rPr>
      <t xml:space="preserve">증여이익 과세 기준금액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연</t>
    </r>
    <r>
      <rPr>
        <sz val="11"/>
        <color theme="1"/>
        <rFont val="Arial"/>
        <family val="0"/>
        <charset val="1"/>
      </rPr>
      <t xml:space="preserve">)</t>
    </r>
  </si>
  <si>
    <t xml:space="preserve">이 금액 이상이면 차액 전액 과세</t>
  </si>
  <si>
    <r>
      <rPr>
        <sz val="11"/>
        <color theme="1"/>
        <rFont val="WenQuanYi Zen Hei"/>
        <family val="2"/>
      </rPr>
      <t xml:space="preserve">이자소득 원천징수율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비영업대금의 이익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</si>
  <si>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소득세 </t>
    </r>
    <r>
      <rPr>
        <sz val="9"/>
        <color rgb="FF7F7F7F"/>
        <rFont val="Arial"/>
        <family val="0"/>
        <charset val="1"/>
      </rPr>
      <t xml:space="preserve">25% + </t>
    </r>
    <r>
      <rPr>
        <sz val="9"/>
        <color rgb="FF7F7F7F"/>
        <rFont val="WenQuanYi Zen Hei"/>
        <family val="2"/>
      </rPr>
      <t xml:space="preserve">지방소득세 </t>
    </r>
    <r>
      <rPr>
        <sz val="9"/>
        <color rgb="FF7F7F7F"/>
        <rFont val="Arial"/>
        <family val="0"/>
        <charset val="1"/>
      </rPr>
      <t xml:space="preserve">2.5%</t>
    </r>
  </si>
  <si>
    <r>
      <rPr>
        <b val="true"/>
        <sz val="11"/>
        <rFont val="Arial"/>
        <family val="0"/>
        <charset val="1"/>
      </rPr>
      <t xml:space="preserve">■ 7. </t>
    </r>
    <r>
      <rPr>
        <b val="true"/>
        <sz val="11"/>
        <rFont val="WenQuanYi Zen Hei"/>
        <family val="2"/>
      </rPr>
      <t xml:space="preserve">중간 계산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자동</t>
    </r>
    <r>
      <rPr>
        <b val="true"/>
        <sz val="11"/>
        <rFont val="Arial"/>
        <family val="0"/>
        <charset val="1"/>
      </rPr>
      <t xml:space="preserve">]</t>
    </r>
  </si>
  <si>
    <t xml:space="preserve">과세대상 월 급여</t>
  </si>
  <si>
    <t xml:space="preserve">식대 비과세분 제외</t>
  </si>
  <si>
    <t xml:space="preserve">월 국민연금</t>
  </si>
  <si>
    <t xml:space="preserve">기준소득월액 상한 적용</t>
  </si>
  <si>
    <t xml:space="preserve">월 건강보험</t>
  </si>
  <si>
    <t xml:space="preserve">월 장기요양보험</t>
  </si>
  <si>
    <t xml:space="preserve">월 고용보험</t>
  </si>
  <si>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WenQuanYi Zen Hei"/>
        <family val="2"/>
      </rPr>
      <t xml:space="preserve">대보험 합계</t>
    </r>
  </si>
  <si>
    <r>
      <rPr>
        <sz val="11"/>
        <color theme="1"/>
        <rFont val="WenQuanYi Zen Hei"/>
        <family val="2"/>
      </rPr>
      <t xml:space="preserve">월 근로소득세 </t>
    </r>
    <r>
      <rPr>
        <sz val="11"/>
        <color theme="1"/>
        <rFont val="Arial"/>
        <family val="0"/>
        <charset val="1"/>
      </rPr>
      <t xml:space="preserve">+ </t>
    </r>
    <r>
      <rPr>
        <sz val="11"/>
        <color theme="1"/>
        <rFont val="WenQuanYi Zen Hei"/>
        <family val="2"/>
      </rPr>
      <t xml:space="preserve">지방소득세</t>
    </r>
  </si>
  <si>
    <r>
      <rPr>
        <sz val="11"/>
        <color theme="1"/>
        <rFont val="WenQuanYi Zen Hei"/>
        <family val="2"/>
      </rPr>
      <t xml:space="preserve">월 세후 실수령액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식대 포함</t>
    </r>
    <r>
      <rPr>
        <sz val="11"/>
        <color theme="1"/>
        <rFont val="Arial"/>
        <family val="0"/>
        <charset val="1"/>
      </rPr>
      <t xml:space="preserve">)</t>
    </r>
  </si>
  <si>
    <t xml:space="preserve">연간 기본급 세후 실수령액</t>
  </si>
  <si>
    <r>
      <rPr>
        <sz val="11"/>
        <color theme="1"/>
        <rFont val="WenQuanYi Zen Hei"/>
        <family val="2"/>
      </rPr>
      <t xml:space="preserve">성과급 세후 실수령액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연</t>
    </r>
    <r>
      <rPr>
        <sz val="11"/>
        <color theme="1"/>
        <rFont val="Arial"/>
        <family val="0"/>
        <charset val="1"/>
      </rPr>
      <t xml:space="preserve">)</t>
    </r>
  </si>
  <si>
    <t xml:space="preserve">시나리오 반영률 적용</t>
  </si>
  <si>
    <t xml:space="preserve">연간 세후 총소득</t>
  </si>
  <si>
    <t xml:space="preserve">연간 기존 부채 상환액</t>
  </si>
  <si>
    <r>
      <rPr>
        <sz val="11"/>
        <color theme="1"/>
        <rFont val="WenQuanYi Zen Hei"/>
        <family val="2"/>
      </rPr>
      <t xml:space="preserve">연간 차용 이자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총액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WenQuanYi Zen Hei"/>
        <family val="2"/>
      </rPr>
      <t xml:space="preserve">세전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</si>
  <si>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  └ 원천징수세액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차입자가 세무서 납부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</si>
  <si>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지급월 익월 </t>
    </r>
    <r>
      <rPr>
        <sz val="9"/>
        <color rgb="FF7F7F7F"/>
        <rFont val="Arial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일까지</t>
    </r>
  </si>
  <si>
    <t xml:space="preserve">  └ 대여자 실수령 이자</t>
  </si>
  <si>
    <t xml:space="preserve">연간 필수 소비 지출</t>
  </si>
  <si>
    <t xml:space="preserve">연간 순 가처분 잉여현금</t>
  </si>
  <si>
    <r>
      <rPr>
        <sz val="9"/>
        <color rgb="FF7F7F7F"/>
        <rFont val="Arial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년차 기준</t>
    </r>
  </si>
  <si>
    <r>
      <rPr>
        <sz val="11"/>
        <color theme="1"/>
        <rFont val="WenQuanYi Zen Hei"/>
        <family val="2"/>
      </rPr>
      <t xml:space="preserve">월 기본급 기준 수지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성과급 제외</t>
    </r>
    <r>
      <rPr>
        <sz val="11"/>
        <color theme="1"/>
        <rFont val="Arial"/>
        <family val="0"/>
        <charset val="1"/>
      </rPr>
      <t xml:space="preserve">)</t>
    </r>
  </si>
  <si>
    <t xml:space="preserve">음수면 구조적 적자</t>
  </si>
  <si>
    <r>
      <rPr>
        <sz val="11"/>
        <color theme="1"/>
        <rFont val="WenQuanYi Zen Hei"/>
        <family val="2"/>
      </rPr>
      <t xml:space="preserve">차용기간 누적 저축 가능액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단순 추정</t>
    </r>
    <r>
      <rPr>
        <sz val="11"/>
        <color theme="1"/>
        <rFont val="Arial"/>
        <family val="0"/>
        <charset val="1"/>
      </rPr>
      <t xml:space="preserve">)</t>
    </r>
  </si>
  <si>
    <t xml:space="preserve">성장률 미반영 — 참고용</t>
  </si>
  <si>
    <r>
      <rPr>
        <b val="true"/>
        <sz val="11"/>
        <rFont val="Arial"/>
        <family val="0"/>
        <charset val="1"/>
      </rPr>
      <t xml:space="preserve">■ 8. </t>
    </r>
    <r>
      <rPr>
        <b val="true"/>
        <sz val="11"/>
        <rFont val="WenQuanYi Zen Hei"/>
        <family val="2"/>
      </rPr>
      <t xml:space="preserve">연도별 현금흐름 시뮬레이션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자동</t>
    </r>
    <r>
      <rPr>
        <b val="true"/>
        <sz val="11"/>
        <rFont val="Arial"/>
        <family val="0"/>
        <charset val="1"/>
      </rPr>
      <t xml:space="preserve">]</t>
    </r>
  </si>
  <si>
    <t xml:space="preserve">연차</t>
  </si>
  <si>
    <t xml:space="preserve">세후 총소득</t>
  </si>
  <si>
    <t xml:space="preserve">기존 부채상환</t>
  </si>
  <si>
    <t xml:space="preserve">필수 생활비</t>
  </si>
  <si>
    <t xml:space="preserve">차용 이자</t>
  </si>
  <si>
    <t xml:space="preserve">원금 분할상환</t>
  </si>
  <si>
    <t xml:space="preserve">연간 잉여</t>
  </si>
  <si>
    <t xml:space="preserve">누적 잉여</t>
  </si>
  <si>
    <t xml:space="preserve">원금 대비 누적</t>
  </si>
  <si>
    <r>
      <rPr>
        <b val="true"/>
        <sz val="11"/>
        <rFont val="Arial"/>
        <family val="0"/>
        <charset val="1"/>
      </rPr>
      <t xml:space="preserve">■ 9. </t>
    </r>
    <r>
      <rPr>
        <b val="true"/>
        <sz val="11"/>
        <rFont val="WenQuanYi Zen Hei"/>
        <family val="2"/>
      </rPr>
      <t xml:space="preserve">상환능력 판정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핵심 산출물</t>
    </r>
    <r>
      <rPr>
        <b val="true"/>
        <sz val="11"/>
        <rFont val="Arial"/>
        <family val="0"/>
        <charset val="1"/>
      </rPr>
      <t xml:space="preserve">]</t>
    </r>
  </si>
  <si>
    <t xml:space="preserve">만기 시 일시상환 대상 잔여 원금</t>
  </si>
  <si>
    <t xml:space="preserve">분할상환분 차감 후</t>
  </si>
  <si>
    <t xml:space="preserve">차용기간 누적 저축 가능액</t>
  </si>
  <si>
    <t xml:space="preserve">연도별 표 기준</t>
  </si>
  <si>
    <r>
      <rPr>
        <sz val="11"/>
        <color theme="1"/>
        <rFont val="WenQuanYi Zen Hei"/>
        <family val="2"/>
      </rPr>
      <t xml:space="preserve">지표</t>
    </r>
    <r>
      <rPr>
        <sz val="11"/>
        <color theme="1"/>
        <rFont val="Arial"/>
        <family val="0"/>
        <charset val="1"/>
      </rPr>
      <t xml:space="preserve">1. </t>
    </r>
    <r>
      <rPr>
        <sz val="11"/>
        <color theme="1"/>
        <rFont val="WenQuanYi Zen Hei"/>
        <family val="2"/>
      </rPr>
      <t xml:space="preserve">만기 상환 버퍼율</t>
    </r>
  </si>
  <si>
    <r>
      <rPr>
        <sz val="9"/>
        <color rgb="FF7F7F7F"/>
        <rFont val="Arial"/>
        <family val="0"/>
        <charset val="1"/>
      </rPr>
      <t xml:space="preserve">100% = </t>
    </r>
    <r>
      <rPr>
        <sz val="9"/>
        <color rgb="FF7F7F7F"/>
        <rFont val="WenQuanYi Zen Hei"/>
        <family val="2"/>
      </rPr>
      <t xml:space="preserve">딱 맞음</t>
    </r>
    <r>
      <rPr>
        <sz val="9"/>
        <color rgb="FF7F7F7F"/>
        <rFont val="Arial"/>
        <family val="0"/>
        <charset val="1"/>
      </rPr>
      <t xml:space="preserve">, 120%↑ </t>
    </r>
    <r>
      <rPr>
        <sz val="9"/>
        <color rgb="FF7F7F7F"/>
        <rFont val="WenQuanYi Zen Hei"/>
        <family val="2"/>
      </rPr>
      <t xml:space="preserve">권장</t>
    </r>
  </si>
  <si>
    <r>
      <rPr>
        <sz val="11"/>
        <color theme="1"/>
        <rFont val="WenQuanYi Zen Hei"/>
        <family val="2"/>
      </rPr>
      <t xml:space="preserve">지표</t>
    </r>
    <r>
      <rPr>
        <sz val="11"/>
        <color theme="1"/>
        <rFont val="Arial"/>
        <family val="0"/>
        <charset val="1"/>
      </rPr>
      <t xml:space="preserve">2. </t>
    </r>
    <r>
      <rPr>
        <sz val="11"/>
        <color theme="1"/>
        <rFont val="WenQuanYi Zen Hei"/>
        <family val="2"/>
      </rPr>
      <t xml:space="preserve">최종 판정</t>
    </r>
  </si>
  <si>
    <t xml:space="preserve">기본급 수지 적자면 무조건 부족 판정</t>
  </si>
  <si>
    <t xml:space="preserve">소득 대비 차입 배수</t>
  </si>
  <si>
    <t xml:space="preserve">연 세후소득의 몇 배를 빌리는가</t>
  </si>
  <si>
    <r>
      <rPr>
        <sz val="11"/>
        <color theme="1"/>
        <rFont val="WenQuanYi Zen Hei"/>
        <family val="2"/>
      </rPr>
      <t xml:space="preserve">총부채 상환비율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생활 </t>
    </r>
    <r>
      <rPr>
        <sz val="11"/>
        <color theme="1"/>
        <rFont val="Arial"/>
        <family val="0"/>
        <charset val="1"/>
      </rPr>
      <t xml:space="preserve">DSR)</t>
    </r>
  </si>
  <si>
    <t xml:space="preserve">세후소득 대비 부채상환 비중</t>
  </si>
  <si>
    <t xml:space="preserve">월 기본급 기준 수지</t>
  </si>
  <si>
    <t xml:space="preserve">성과급 없이도 흑자여야 안전</t>
  </si>
  <si>
    <r>
      <rPr>
        <b val="true"/>
        <sz val="11"/>
        <rFont val="Arial"/>
        <family val="0"/>
        <charset val="1"/>
      </rPr>
      <t xml:space="preserve">■ 10. </t>
    </r>
    <r>
      <rPr>
        <b val="true"/>
        <sz val="11"/>
        <rFont val="WenQuanYi Zen Hei"/>
        <family val="2"/>
      </rPr>
      <t xml:space="preserve">세무 리스크 진단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자동</t>
    </r>
    <r>
      <rPr>
        <b val="true"/>
        <sz val="11"/>
        <rFont val="Arial"/>
        <family val="0"/>
        <charset val="1"/>
      </rPr>
      <t xml:space="preserve">]</t>
    </r>
  </si>
  <si>
    <r>
      <rPr>
        <sz val="11"/>
        <color theme="1"/>
        <rFont val="WenQuanYi Zen Hei"/>
        <family val="2"/>
      </rPr>
      <t xml:space="preserve">법정 적정이자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연</t>
    </r>
    <r>
      <rPr>
        <sz val="11"/>
        <color theme="1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</si>
  <si>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원금 </t>
    </r>
    <r>
      <rPr>
        <sz val="9"/>
        <color rgb="FF7F7F7F"/>
        <rFont val="Arial"/>
        <family val="0"/>
        <charset val="1"/>
      </rPr>
      <t xml:space="preserve">× 4.6%</t>
    </r>
  </si>
  <si>
    <r>
      <rPr>
        <sz val="11"/>
        <color theme="1"/>
        <rFont val="WenQuanYi Zen Hei"/>
        <family val="2"/>
      </rPr>
      <t xml:space="preserve">실제 약정이자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연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</si>
  <si>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무상대여 이익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연</t>
    </r>
    <r>
      <rPr>
        <sz val="11"/>
        <color theme="1"/>
        <rFont val="Arial"/>
        <family val="0"/>
        <charset val="1"/>
      </rPr>
      <t xml:space="preserve">)</t>
    </r>
  </si>
  <si>
    <t xml:space="preserve">적정이자 − 약정이자</t>
  </si>
  <si>
    <t xml:space="preserve">증여세 과세대상 여부</t>
  </si>
  <si>
    <t xml:space="preserve">초과분이 아닌 전액 과세</t>
  </si>
  <si>
    <t xml:space="preserve">무이자 시 안전 원금 한도</t>
  </si>
  <si>
    <r>
      <rPr>
        <sz val="9"/>
        <color rgb="FF7F7F7F"/>
        <rFont val="Arial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만 </t>
    </r>
    <r>
      <rPr>
        <sz val="9"/>
        <color rgb="FF7F7F7F"/>
        <rFont val="Arial"/>
        <family val="0"/>
        <charset val="1"/>
      </rPr>
      <t xml:space="preserve">÷ 4.6%</t>
    </r>
  </si>
  <si>
    <t xml:space="preserve">한도 대비 여유액</t>
  </si>
  <si>
    <t xml:space="preserve">음수면 무이자 구조 불가</t>
  </si>
  <si>
    <t xml:space="preserve">이자 원천징수 신고 의무</t>
  </si>
  <si>
    <t xml:space="preserve">신고 이력이 곧 차용 사실의 증거</t>
  </si>
  <si>
    <r>
      <rPr>
        <sz val="11"/>
        <color theme="1"/>
        <rFont val="WenQuanYi Zen Hei"/>
        <family val="2"/>
      </rPr>
      <t xml:space="preserve">지표</t>
    </r>
    <r>
      <rPr>
        <sz val="11"/>
        <color theme="1"/>
        <rFont val="Arial"/>
        <family val="0"/>
        <charset val="1"/>
      </rPr>
      <t xml:space="preserve">3. </t>
    </r>
    <r>
      <rPr>
        <sz val="11"/>
        <color theme="1"/>
        <rFont val="WenQuanYi Zen Hei"/>
        <family val="2"/>
      </rPr>
      <t xml:space="preserve">종합 코멘트</t>
    </r>
  </si>
  <si>
    <r>
      <rPr>
        <b val="true"/>
        <sz val="11"/>
        <rFont val="Arial"/>
        <family val="0"/>
        <charset val="1"/>
      </rPr>
      <t xml:space="preserve">■ 11. </t>
    </r>
    <r>
      <rPr>
        <b val="true"/>
        <sz val="11"/>
        <rFont val="WenQuanYi Zen Hei"/>
        <family val="2"/>
      </rPr>
      <t xml:space="preserve">성과급 민감도 분석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자동</t>
    </r>
    <r>
      <rPr>
        <b val="true"/>
        <sz val="11"/>
        <rFont val="Arial"/>
        <family val="0"/>
        <charset val="1"/>
      </rPr>
      <t xml:space="preserve">]</t>
    </r>
  </si>
  <si>
    <t xml:space="preserve">성과급 반영률</t>
  </si>
  <si>
    <t xml:space="preserve">누적 잉여액</t>
  </si>
  <si>
    <t xml:space="preserve">버퍼율</t>
  </si>
  <si>
    <t xml:space="preserve">판정</t>
  </si>
  <si>
    <r>
      <rPr>
        <b val="true"/>
        <sz val="11"/>
        <rFont val="Arial"/>
        <family val="0"/>
        <charset val="1"/>
      </rPr>
      <t xml:space="preserve">■ 12. </t>
    </r>
    <r>
      <rPr>
        <b val="true"/>
        <sz val="11"/>
        <rFont val="WenQuanYi Zen Hei"/>
        <family val="2"/>
      </rPr>
      <t xml:space="preserve">소명 실행 체크리스트 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수동 체크</t>
    </r>
    <r>
      <rPr>
        <b val="true"/>
        <sz val="11"/>
        <rFont val="Arial"/>
        <family val="0"/>
        <charset val="1"/>
      </rPr>
      <t xml:space="preserve">]</t>
    </r>
  </si>
  <si>
    <r>
      <rPr>
        <sz val="11"/>
        <color theme="1"/>
        <rFont val="WenQuanYi Zen Hei"/>
        <family val="2"/>
      </rPr>
      <t xml:space="preserve">차용증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WenQuanYi Zen Hei"/>
        <family val="2"/>
      </rPr>
      <t xml:space="preserve">금전소비대차계약서</t>
    </r>
    <r>
      <rPr>
        <sz val="11"/>
        <color theme="1"/>
        <rFont val="Arial"/>
        <family val="0"/>
        <charset val="1"/>
      </rPr>
      <t xml:space="preserve">) </t>
    </r>
    <r>
      <rPr>
        <sz val="11"/>
        <color theme="1"/>
        <rFont val="WenQuanYi Zen Hei"/>
        <family val="2"/>
      </rPr>
      <t xml:space="preserve">작성</t>
    </r>
  </si>
  <si>
    <t xml:space="preserve">☐</t>
  </si>
  <si>
    <r>
      <rPr>
        <sz val="9"/>
        <color rgb="FF7F7F7F"/>
        <rFont val="WenQuanYi Zen Hei"/>
        <family val="2"/>
      </rPr>
      <t xml:space="preserve">원금</t>
    </r>
    <r>
      <rPr>
        <sz val="9"/>
        <color rgb="FF7F7F7F"/>
        <rFont val="Arial"/>
        <family val="0"/>
        <charset val="1"/>
      </rPr>
      <t xml:space="preserve">·</t>
    </r>
    <r>
      <rPr>
        <sz val="9"/>
        <color rgb="FF7F7F7F"/>
        <rFont val="WenQuanYi Zen Hei"/>
        <family val="2"/>
      </rPr>
      <t xml:space="preserve">이자율</t>
    </r>
    <r>
      <rPr>
        <sz val="9"/>
        <color rgb="FF7F7F7F"/>
        <rFont val="Arial"/>
        <family val="0"/>
        <charset val="1"/>
      </rPr>
      <t xml:space="preserve">·</t>
    </r>
    <r>
      <rPr>
        <sz val="9"/>
        <color rgb="FF7F7F7F"/>
        <rFont val="WenQuanYi Zen Hei"/>
        <family val="2"/>
      </rPr>
      <t xml:space="preserve">만기</t>
    </r>
    <r>
      <rPr>
        <sz val="9"/>
        <color rgb="FF7F7F7F"/>
        <rFont val="Arial"/>
        <family val="0"/>
        <charset val="1"/>
      </rPr>
      <t xml:space="preserve">·</t>
    </r>
    <r>
      <rPr>
        <sz val="9"/>
        <color rgb="FF7F7F7F"/>
        <rFont val="WenQuanYi Zen Hei"/>
        <family val="2"/>
      </rPr>
      <t xml:space="preserve">상환방법</t>
    </r>
    <r>
      <rPr>
        <sz val="9"/>
        <color rgb="FF7F7F7F"/>
        <rFont val="Arial"/>
        <family val="0"/>
        <charset val="1"/>
      </rPr>
      <t xml:space="preserve">·</t>
    </r>
    <r>
      <rPr>
        <sz val="9"/>
        <color rgb="FF7F7F7F"/>
        <rFont val="WenQuanYi Zen Hei"/>
        <family val="2"/>
      </rPr>
      <t xml:space="preserve">지연이자 명시</t>
    </r>
  </si>
  <si>
    <t xml:space="preserve">차용증에 확정일자 부여</t>
  </si>
  <si>
    <t xml:space="preserve">공증 또는 우체국 내용증명 — 사후 작성 의심 차단</t>
  </si>
  <si>
    <t xml:space="preserve">대여금 전액을 계좌이체로 수령</t>
  </si>
  <si>
    <t xml:space="preserve">현금 수수는 절대 금지</t>
  </si>
  <si>
    <t xml:space="preserve">상환은 차입자 본인 계좌 → 대여자 계좌</t>
  </si>
  <si>
    <r>
      <rPr>
        <sz val="9"/>
        <color rgb="FF7F7F7F"/>
        <rFont val="WenQuanYi Zen Hei"/>
        <family val="2"/>
      </rPr>
      <t xml:space="preserve">제</t>
    </r>
    <r>
      <rPr>
        <sz val="9"/>
        <color rgb="FF7F7F7F"/>
        <rFont val="Arial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자 계좌 경유 시 소명 불가</t>
    </r>
  </si>
  <si>
    <r>
      <rPr>
        <sz val="11"/>
        <color theme="1"/>
        <rFont val="WenQuanYi Zen Hei"/>
        <family val="2"/>
      </rPr>
      <t xml:space="preserve">이자 지급 시 </t>
    </r>
    <r>
      <rPr>
        <sz val="11"/>
        <color theme="1"/>
        <rFont val="Arial"/>
        <family val="0"/>
        <charset val="1"/>
      </rPr>
      <t xml:space="preserve">27.5% </t>
    </r>
    <r>
      <rPr>
        <sz val="11"/>
        <color theme="1"/>
        <rFont val="WenQuanYi Zen Hei"/>
        <family val="2"/>
      </rPr>
      <t xml:space="preserve">원천징수 후 지급</t>
    </r>
  </si>
  <si>
    <t xml:space="preserve">무이자면 해당 없음</t>
  </si>
  <si>
    <t xml:space="preserve">원천징수이행상황신고서 제출</t>
  </si>
  <si>
    <r>
      <rPr>
        <sz val="9"/>
        <color rgb="FF7F7F7F"/>
        <rFont val="WenQuanYi Zen Hei"/>
        <family val="2"/>
      </rPr>
      <t xml:space="preserve">지급월의 다음 달 </t>
    </r>
    <r>
      <rPr>
        <sz val="9"/>
        <color rgb="FF7F7F7F"/>
        <rFont val="Arial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일까지</t>
    </r>
  </si>
  <si>
    <t xml:space="preserve">이자소득 지급명세서 제출</t>
  </si>
  <si>
    <r>
      <rPr>
        <sz val="9"/>
        <color rgb="FF7F7F7F"/>
        <rFont val="WenQuanYi Zen Hei"/>
        <family val="2"/>
      </rPr>
      <t xml:space="preserve">다음 해 </t>
    </r>
    <r>
      <rPr>
        <sz val="9"/>
        <color rgb="FF7F7F7F"/>
        <rFont val="Arial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월 말까지</t>
    </r>
  </si>
  <si>
    <t xml:space="preserve">매년 일부라도 원금 상환 이력 만들기</t>
  </si>
  <si>
    <t xml:space="preserve">만기 일시 구조의 최대 보완책</t>
  </si>
  <si>
    <t xml:space="preserve">자금조달계획서에 차입금으로 기재</t>
  </si>
  <si>
    <t xml:space="preserve">주택 취득 시 차용증 첨부</t>
  </si>
  <si>
    <t xml:space="preserve">대여자의 자금 원천 증빙 확보</t>
  </si>
  <si>
    <t xml:space="preserve">대여자도 자금출처를 소명해야 함</t>
  </si>
  <si>
    <r>
      <rPr>
        <sz val="9"/>
        <color rgb="FF7F7F7F"/>
        <rFont val="WenQuanYi Zen Hei"/>
        <family val="2"/>
      </rPr>
      <t xml:space="preserve">※ 본 시트는 사전 점검용 추산입니다</t>
    </r>
    <r>
      <rPr>
        <sz val="9"/>
        <color rgb="FF7F7F7F"/>
        <rFont val="Arial"/>
        <family val="0"/>
        <charset val="1"/>
      </rPr>
      <t xml:space="preserve">. </t>
    </r>
    <r>
      <rPr>
        <sz val="9"/>
        <color rgb="FF7F7F7F"/>
        <rFont val="WenQuanYi Zen Hei"/>
        <family val="2"/>
      </rPr>
      <t xml:space="preserve">세율</t>
    </r>
    <r>
      <rPr>
        <sz val="9"/>
        <color rgb="FF7F7F7F"/>
        <rFont val="Arial"/>
        <family val="0"/>
        <charset val="1"/>
      </rPr>
      <t xml:space="preserve">·</t>
    </r>
    <r>
      <rPr>
        <sz val="9"/>
        <color rgb="FF7F7F7F"/>
        <rFont val="WenQuanYi Zen Hei"/>
        <family val="2"/>
      </rPr>
      <t xml:space="preserve">요율은 고시값 변동에 따라 달라지고</t>
    </r>
    <r>
      <rPr>
        <sz val="9"/>
        <color rgb="FF7F7F7F"/>
        <rFont val="Arial"/>
        <family val="0"/>
        <charset val="1"/>
      </rPr>
      <t xml:space="preserve">, </t>
    </r>
    <r>
      <rPr>
        <sz val="9"/>
        <color rgb="FF7F7F7F"/>
        <rFont val="WenQuanYi Zen Hei"/>
        <family val="2"/>
      </rPr>
      <t xml:space="preserve">실제 과세 판단은 개별 사실관계에 좌우되므로 실행 전 세무대리인 확인을 권합니다</t>
    </r>
    <r>
      <rPr>
        <sz val="9"/>
        <color rgb="FF7F7F7F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</si>
</sst>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#,##0\원"/>
    <numFmt numFmtId="167" formatCode="0.0%"/>
    <numFmt numFmtId="168" formatCode="0.00%"/>
    <numFmt numFmtId="169" formatCode="#,##0&quot;개월&quot;"/>
    <numFmt numFmtId="170" formatCode="0\년"/>
    <numFmt numFmtId="171" formatCode="#,##0"/>
    <numFmt numFmtId="172" formatCode="General"/>
    <numFmt numFmtId="173" formatCode="0.00\배"/>
    <numFmt numFmtId="174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WenQuanYi Zen Hei"/>
      <family val="2"/>
    </font>
    <font>
      <b val="true"/>
      <sz val="13"/>
      <color rgb="FFFFFFFF"/>
      <name val="Arial"/>
      <family val="0"/>
      <charset val="1"/>
    </font>
    <font>
      <sz val="11"/>
      <color theme="1"/>
      <name val="WenQuanYi Zen Hei"/>
      <family val="2"/>
    </font>
    <font>
      <sz val="11"/>
      <color theme="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9"/>
      <color rgb="FF7F7F7F"/>
      <name val="WenQuanYi Zen Hei"/>
      <family val="2"/>
    </font>
    <font>
      <sz val="9"/>
      <color rgb="FF7F7F7F"/>
      <name val="Arial"/>
      <family val="0"/>
      <charset val="1"/>
    </font>
    <font>
      <sz val="9"/>
      <name val="WenQuanYi Zen Hei"/>
      <family val="2"/>
    </font>
    <font>
      <sz val="10"/>
      <name val="Arial"/>
      <family val="2"/>
    </font>
    <font>
      <sz val="10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CE4E4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3"/>
    <col collapsed="false" customWidth="true" hidden="false" outlineLevel="0" max="3" min="3" style="0" width="42"/>
    <col collapsed="false" customWidth="true" hidden="false" outlineLevel="0" max="9" min="4" style="0" width="17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3" t="n">
        <f aca="true">TODAY()</f>
        <v>46280</v>
      </c>
      <c r="C2" s="2"/>
      <c r="D2" s="2"/>
      <c r="E2" s="4" t="s">
        <v>2</v>
      </c>
      <c r="F2" s="2"/>
      <c r="G2" s="2"/>
      <c r="H2" s="2"/>
      <c r="I2" s="2"/>
    </row>
    <row r="3" customFormat="false" ht="15" hidden="false" customHeight="false" outlineLevel="0" collapsed="false">
      <c r="A3" s="2" t="s">
        <v>3</v>
      </c>
      <c r="B3" s="5" t="s">
        <v>4</v>
      </c>
      <c r="C3" s="6" t="s">
        <v>5</v>
      </c>
      <c r="D3" s="2"/>
      <c r="E3" s="7"/>
      <c r="F3" s="8" t="s">
        <v>6</v>
      </c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9"/>
      <c r="F4" s="8" t="s">
        <v>7</v>
      </c>
      <c r="G4" s="2"/>
      <c r="H4" s="2"/>
      <c r="I4" s="2"/>
    </row>
    <row r="5" customFormat="false" ht="15" hidden="false" customHeight="false" outlineLevel="0" collapsed="false">
      <c r="A5" s="10" t="s">
        <v>8</v>
      </c>
      <c r="B5" s="10"/>
      <c r="C5" s="10"/>
      <c r="D5" s="2"/>
      <c r="E5" s="11"/>
      <c r="F5" s="8" t="s">
        <v>9</v>
      </c>
      <c r="G5" s="2"/>
      <c r="H5" s="2"/>
      <c r="I5" s="2"/>
    </row>
    <row r="6" customFormat="false" ht="15" hidden="false" customHeight="false" outlineLevel="0" collapsed="false">
      <c r="A6" s="2" t="s">
        <v>10</v>
      </c>
      <c r="B6" s="12" t="n">
        <v>60000000</v>
      </c>
      <c r="C6" s="6" t="s">
        <v>11</v>
      </c>
      <c r="D6" s="2"/>
      <c r="E6" s="13"/>
      <c r="F6" s="8" t="s">
        <v>12</v>
      </c>
      <c r="G6" s="2"/>
      <c r="H6" s="2"/>
      <c r="I6" s="2"/>
    </row>
    <row r="7" customFormat="false" ht="15" hidden="false" customHeight="false" outlineLevel="0" collapsed="false">
      <c r="A7" s="2" t="s">
        <v>13</v>
      </c>
      <c r="B7" s="12" t="n">
        <v>10000000</v>
      </c>
      <c r="C7" s="6" t="s">
        <v>14</v>
      </c>
      <c r="D7" s="2"/>
      <c r="E7" s="2"/>
      <c r="F7" s="2"/>
      <c r="G7" s="2"/>
      <c r="H7" s="2"/>
      <c r="I7" s="2"/>
    </row>
    <row r="8" customFormat="false" ht="15" hidden="false" customHeight="false" outlineLevel="0" collapsed="false">
      <c r="A8" s="2" t="s">
        <v>15</v>
      </c>
      <c r="B8" s="12" t="n">
        <v>200000</v>
      </c>
      <c r="C8" s="6" t="s">
        <v>16</v>
      </c>
      <c r="D8" s="2"/>
      <c r="E8" s="6" t="s">
        <v>17</v>
      </c>
      <c r="F8" s="2"/>
      <c r="G8" s="2"/>
      <c r="H8" s="2"/>
      <c r="I8" s="2"/>
    </row>
    <row r="9" customFormat="false" ht="15" hidden="false" customHeight="false" outlineLevel="0" collapsed="false">
      <c r="A9" s="2" t="s">
        <v>18</v>
      </c>
      <c r="B9" s="14" t="n">
        <v>0.03</v>
      </c>
      <c r="C9" s="6" t="s">
        <v>19</v>
      </c>
      <c r="D9" s="2"/>
      <c r="E9" s="6" t="s">
        <v>20</v>
      </c>
      <c r="F9" s="2"/>
      <c r="G9" s="2"/>
      <c r="H9" s="2"/>
      <c r="I9" s="2"/>
    </row>
    <row r="10" customFormat="false" ht="15" hidden="false" customHeight="false" outlineLevel="0" collapsed="false">
      <c r="A10" s="2" t="s">
        <v>21</v>
      </c>
      <c r="B10" s="14" t="n">
        <v>1</v>
      </c>
      <c r="C10" s="6" t="s">
        <v>22</v>
      </c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2" t="s">
        <v>23</v>
      </c>
      <c r="B11" s="5" t="s">
        <v>24</v>
      </c>
      <c r="C11" s="6" t="s">
        <v>25</v>
      </c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10" t="s">
        <v>26</v>
      </c>
      <c r="B13" s="10"/>
      <c r="C13" s="10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2" t="s">
        <v>27</v>
      </c>
      <c r="B14" s="15" t="n">
        <v>0.045</v>
      </c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2" t="s">
        <v>28</v>
      </c>
      <c r="B15" s="12" t="n">
        <v>6370000</v>
      </c>
      <c r="C15" s="6" t="s">
        <v>29</v>
      </c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 t="s">
        <v>30</v>
      </c>
      <c r="B16" s="15" t="n">
        <v>0.03545</v>
      </c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" t="s">
        <v>31</v>
      </c>
      <c r="B17" s="15" t="n">
        <v>0.1295</v>
      </c>
      <c r="C17" s="6" t="s">
        <v>32</v>
      </c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" t="s">
        <v>33</v>
      </c>
      <c r="B18" s="15" t="n">
        <v>0.009</v>
      </c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2" t="s">
        <v>34</v>
      </c>
      <c r="B19" s="14" t="n">
        <v>0.06</v>
      </c>
      <c r="C19" s="6" t="s">
        <v>35</v>
      </c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" t="s">
        <v>36</v>
      </c>
      <c r="B20" s="14" t="n">
        <v>0.385</v>
      </c>
      <c r="C20" s="6" t="s">
        <v>37</v>
      </c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10" t="s">
        <v>38</v>
      </c>
      <c r="B22" s="10"/>
      <c r="C22" s="10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 t="s">
        <v>39</v>
      </c>
      <c r="B23" s="12" t="n">
        <v>1200000</v>
      </c>
      <c r="C23" s="6" t="s">
        <v>40</v>
      </c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 t="s">
        <v>41</v>
      </c>
      <c r="B24" s="16" t="n">
        <v>300</v>
      </c>
      <c r="C24" s="6" t="s">
        <v>42</v>
      </c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 t="s">
        <v>43</v>
      </c>
      <c r="B25" s="12" t="n">
        <v>500000</v>
      </c>
      <c r="C25" s="6" t="s">
        <v>44</v>
      </c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 t="s">
        <v>41</v>
      </c>
      <c r="B26" s="16" t="n">
        <v>60</v>
      </c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 t="s">
        <v>45</v>
      </c>
      <c r="B27" s="12" t="n">
        <v>300000</v>
      </c>
      <c r="C27" s="6" t="s">
        <v>44</v>
      </c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 t="s">
        <v>41</v>
      </c>
      <c r="B28" s="16" t="n">
        <v>36</v>
      </c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 t="s">
        <v>46</v>
      </c>
      <c r="B29" s="17" t="n">
        <f aca="false">B23+B25+B27</f>
        <v>2000000</v>
      </c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10" t="s">
        <v>47</v>
      </c>
      <c r="B31" s="10"/>
      <c r="C31" s="10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 t="s">
        <v>48</v>
      </c>
      <c r="B32" s="12" t="n">
        <v>600000</v>
      </c>
      <c r="C32" s="6" t="s">
        <v>49</v>
      </c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 t="s">
        <v>50</v>
      </c>
      <c r="B33" s="12" t="n">
        <v>900000</v>
      </c>
      <c r="C33" s="6" t="s">
        <v>51</v>
      </c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 t="s">
        <v>52</v>
      </c>
      <c r="B34" s="17" t="n">
        <f aca="false">B32+B33</f>
        <v>1500000</v>
      </c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 t="s">
        <v>53</v>
      </c>
      <c r="B35" s="14" t="n">
        <v>0.02</v>
      </c>
      <c r="C35" s="6" t="s">
        <v>54</v>
      </c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10" t="s">
        <v>55</v>
      </c>
      <c r="B37" s="10"/>
      <c r="C37" s="10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 t="s">
        <v>56</v>
      </c>
      <c r="B38" s="12" t="n">
        <v>200000000</v>
      </c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 t="s">
        <v>57</v>
      </c>
      <c r="B39" s="18" t="s">
        <v>58</v>
      </c>
      <c r="C39" s="6" t="s">
        <v>59</v>
      </c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" t="s">
        <v>60</v>
      </c>
      <c r="B40" s="19" t="n">
        <v>5</v>
      </c>
      <c r="C40" s="20" t="s">
        <v>61</v>
      </c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 t="s">
        <v>62</v>
      </c>
      <c r="B41" s="14" t="n">
        <v>0</v>
      </c>
      <c r="C41" s="6" t="s">
        <v>63</v>
      </c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 t="s">
        <v>64</v>
      </c>
      <c r="B42" s="5" t="s">
        <v>65</v>
      </c>
      <c r="C42" s="6" t="s">
        <v>66</v>
      </c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 t="s">
        <v>67</v>
      </c>
      <c r="B43" s="12" t="n">
        <v>0</v>
      </c>
      <c r="C43" s="6" t="s">
        <v>68</v>
      </c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 t="s">
        <v>69</v>
      </c>
      <c r="B44" s="3" t="str">
        <f aca="false">IF(ISNUMBER(B39),EDATE(B39,B40*12),"")</f>
        <v/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10" t="s">
        <v>70</v>
      </c>
      <c r="B46" s="10"/>
      <c r="C46" s="10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 t="s">
        <v>71</v>
      </c>
      <c r="B47" s="14" t="n">
        <v>0.046</v>
      </c>
      <c r="C47" s="6" t="s">
        <v>72</v>
      </c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" t="s">
        <v>73</v>
      </c>
      <c r="B48" s="12" t="n">
        <v>10000000</v>
      </c>
      <c r="C48" s="6" t="s">
        <v>74</v>
      </c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A49" s="2" t="s">
        <v>75</v>
      </c>
      <c r="B49" s="14" t="n">
        <v>0.275</v>
      </c>
      <c r="C49" s="6" t="s">
        <v>76</v>
      </c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10" t="s">
        <v>77</v>
      </c>
      <c r="B51" s="10"/>
      <c r="C51" s="10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2" t="s">
        <v>78</v>
      </c>
      <c r="B52" s="17" t="n">
        <f aca="false">IF($B$11="포함",($B$6-$B$8*12)/12,$B$6/12)</f>
        <v>4800000</v>
      </c>
      <c r="C52" s="6" t="s">
        <v>79</v>
      </c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A53" s="2" t="s">
        <v>80</v>
      </c>
      <c r="B53" s="17" t="n">
        <f aca="false">ROUND(MIN($B$52,$B$15)*$B$14,0)</f>
        <v>216000</v>
      </c>
      <c r="C53" s="6" t="s">
        <v>81</v>
      </c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A54" s="2" t="s">
        <v>82</v>
      </c>
      <c r="B54" s="17" t="n">
        <f aca="false">ROUND($B$52*$B$16,0)</f>
        <v>170160</v>
      </c>
      <c r="C54" s="2"/>
      <c r="D54" s="2"/>
      <c r="E54" s="2"/>
      <c r="F54" s="2"/>
      <c r="G54" s="2"/>
      <c r="H54" s="2"/>
      <c r="I54" s="2"/>
    </row>
    <row r="55" customFormat="false" ht="15" hidden="false" customHeight="false" outlineLevel="0" collapsed="false">
      <c r="A55" s="2" t="s">
        <v>83</v>
      </c>
      <c r="B55" s="17" t="n">
        <f aca="false">ROUND($B$54*$B$17,0)</f>
        <v>22036</v>
      </c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2" t="s">
        <v>84</v>
      </c>
      <c r="B56" s="17" t="n">
        <f aca="false">ROUND($B$52*$B$18,0)</f>
        <v>43200</v>
      </c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2" t="s">
        <v>85</v>
      </c>
      <c r="B57" s="17" t="n">
        <f aca="false">SUM($B$53:$B$56)</f>
        <v>451396</v>
      </c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2" t="s">
        <v>86</v>
      </c>
      <c r="B58" s="17" t="n">
        <f aca="false">ROUND($B$52*$B$19,0)</f>
        <v>288000</v>
      </c>
      <c r="C58" s="2"/>
      <c r="D58" s="2"/>
      <c r="E58" s="2"/>
      <c r="F58" s="2"/>
      <c r="G58" s="2"/>
      <c r="H58" s="2"/>
      <c r="I58" s="2"/>
    </row>
    <row r="59" customFormat="false" ht="15" hidden="false" customHeight="false" outlineLevel="0" collapsed="false">
      <c r="A59" s="2" t="s">
        <v>87</v>
      </c>
      <c r="B59" s="17" t="n">
        <f aca="false">$B$52-$B$57-$B$58+$B$8</f>
        <v>4260604</v>
      </c>
      <c r="C59" s="2"/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2" t="s">
        <v>88</v>
      </c>
      <c r="B60" s="17" t="n">
        <f aca="false">$B$59*12</f>
        <v>51127248</v>
      </c>
      <c r="C60" s="2"/>
      <c r="D60" s="2"/>
      <c r="E60" s="2"/>
      <c r="F60" s="2"/>
      <c r="G60" s="2"/>
      <c r="H60" s="2"/>
      <c r="I60" s="2"/>
    </row>
    <row r="61" customFormat="false" ht="15" hidden="false" customHeight="false" outlineLevel="0" collapsed="false">
      <c r="A61" s="2" t="s">
        <v>89</v>
      </c>
      <c r="B61" s="17" t="n">
        <f aca="false">ROUND($B$7*$B$10*(1-$B$20),0)</f>
        <v>6150000</v>
      </c>
      <c r="C61" s="6" t="s">
        <v>90</v>
      </c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2" t="s">
        <v>91</v>
      </c>
      <c r="B62" s="17" t="n">
        <f aca="false">$B$60+$B$61</f>
        <v>57277248</v>
      </c>
      <c r="C62" s="2"/>
      <c r="D62" s="2"/>
      <c r="E62" s="2"/>
      <c r="F62" s="2"/>
      <c r="G62" s="2"/>
      <c r="H62" s="2"/>
      <c r="I62" s="2"/>
    </row>
    <row r="63" customFormat="false" ht="15" hidden="false" customHeight="false" outlineLevel="0" collapsed="false">
      <c r="A63" s="2" t="s">
        <v>92</v>
      </c>
      <c r="B63" s="17" t="n">
        <f aca="false">$B$29*12</f>
        <v>24000000</v>
      </c>
      <c r="C63" s="2"/>
      <c r="D63" s="2"/>
      <c r="E63" s="2"/>
      <c r="F63" s="2"/>
      <c r="G63" s="2"/>
      <c r="H63" s="2"/>
      <c r="I63" s="2"/>
    </row>
    <row r="64" customFormat="false" ht="15" hidden="false" customHeight="false" outlineLevel="0" collapsed="false">
      <c r="A64" s="2" t="s">
        <v>93</v>
      </c>
      <c r="B64" s="17" t="n">
        <f aca="false">ROUND($B$38*$B$41,0)</f>
        <v>0</v>
      </c>
      <c r="C64" s="2"/>
      <c r="D64" s="2"/>
      <c r="E64" s="2"/>
      <c r="F64" s="2"/>
      <c r="G64" s="2"/>
      <c r="H64" s="2"/>
      <c r="I64" s="2"/>
    </row>
    <row r="65" customFormat="false" ht="15" hidden="false" customHeight="false" outlineLevel="0" collapsed="false">
      <c r="A65" s="2" t="s">
        <v>94</v>
      </c>
      <c r="B65" s="17" t="n">
        <f aca="false">ROUND($B$64*$B$49,0)</f>
        <v>0</v>
      </c>
      <c r="C65" s="6" t="s">
        <v>95</v>
      </c>
      <c r="D65" s="2"/>
      <c r="E65" s="2"/>
      <c r="F65" s="2"/>
      <c r="G65" s="2"/>
      <c r="H65" s="2"/>
      <c r="I65" s="2"/>
    </row>
    <row r="66" customFormat="false" ht="15" hidden="false" customHeight="false" outlineLevel="0" collapsed="false">
      <c r="A66" s="2" t="s">
        <v>96</v>
      </c>
      <c r="B66" s="17" t="n">
        <f aca="false">$B$64-$B$65</f>
        <v>0</v>
      </c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 t="s">
        <v>97</v>
      </c>
      <c r="B67" s="17" t="n">
        <f aca="false">$B$34*12</f>
        <v>18000000</v>
      </c>
      <c r="C67" s="2"/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2" t="s">
        <v>98</v>
      </c>
      <c r="B68" s="17" t="n">
        <f aca="false">$B$62-($B$63+$B$64+$B$67)</f>
        <v>15277248</v>
      </c>
      <c r="C68" s="20" t="s">
        <v>99</v>
      </c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2" t="s">
        <v>100</v>
      </c>
      <c r="B69" s="17" t="n">
        <f aca="false">$B$59-$B$29-$B$34-$B$64/12</f>
        <v>760604</v>
      </c>
      <c r="C69" s="6" t="s">
        <v>101</v>
      </c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2" t="s">
        <v>102</v>
      </c>
      <c r="B70" s="17" t="n">
        <f aca="false">$B$68*$B$40</f>
        <v>76386240</v>
      </c>
      <c r="C70" s="6" t="s">
        <v>103</v>
      </c>
      <c r="D70" s="2"/>
      <c r="E70" s="2"/>
      <c r="F70" s="2"/>
      <c r="G70" s="2"/>
      <c r="H70" s="2"/>
      <c r="I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10" t="s">
        <v>104</v>
      </c>
      <c r="B72" s="10"/>
      <c r="C72" s="10"/>
      <c r="D72" s="10"/>
      <c r="E72" s="10"/>
      <c r="F72" s="10"/>
      <c r="G72" s="10"/>
      <c r="H72" s="10"/>
      <c r="I72" s="10"/>
    </row>
    <row r="73" customFormat="false" ht="15" hidden="false" customHeight="false" outlineLevel="0" collapsed="false">
      <c r="A73" s="21" t="s">
        <v>105</v>
      </c>
      <c r="B73" s="21" t="s">
        <v>106</v>
      </c>
      <c r="C73" s="21" t="s">
        <v>107</v>
      </c>
      <c r="D73" s="21" t="s">
        <v>108</v>
      </c>
      <c r="E73" s="21" t="s">
        <v>109</v>
      </c>
      <c r="F73" s="21" t="s">
        <v>110</v>
      </c>
      <c r="G73" s="21" t="s">
        <v>111</v>
      </c>
      <c r="H73" s="21" t="s">
        <v>112</v>
      </c>
      <c r="I73" s="21" t="s">
        <v>113</v>
      </c>
    </row>
    <row r="74" customFormat="false" ht="15" hidden="false" customHeight="false" outlineLevel="0" collapsed="false">
      <c r="A74" s="22" t="n">
        <v>1</v>
      </c>
      <c r="B74" s="23" t="n">
        <f aca="false">IF($A74&gt;$B$40,"",ROUND($B$62*(1+$B$9)^($A74-1),0))</f>
        <v>57277248</v>
      </c>
      <c r="C74" s="23" t="n">
        <f aca="false">IF($A74&gt;$B$40,"",$B$23*MIN(12,MAX(0,$B$24-($A74-1)*12))+$B$25*MIN(12,MAX(0,$B$26-($A74-1)*12))+$B$27*MIN(12,MAX(0,$B$28-($A74-1)*12)))</f>
        <v>24000000</v>
      </c>
      <c r="D74" s="23" t="n">
        <f aca="false">IF($A74&gt;$B$40,"",ROUND($B$67*(1+$B$35)^($A74-1),0))</f>
        <v>18000000</v>
      </c>
      <c r="E74" s="23" t="n">
        <f aca="false">IF($A74&gt;$B$40,"",ROUND(MAX(0,$B$38-$B$43*($A74-1))*$B$41,0))</f>
        <v>0</v>
      </c>
      <c r="F74" s="23" t="n">
        <f aca="false">IF($A74&gt;$B$40,"",MIN($B$43,MAX(0,$B$38-$B$43*($A74-1))))</f>
        <v>0</v>
      </c>
      <c r="G74" s="23" t="n">
        <f aca="false">IF($A74&gt;$B$40,"",B74-C74-D74-E74-F74)</f>
        <v>15277248</v>
      </c>
      <c r="H74" s="23" t="n">
        <f aca="false">IF($A74&gt;$B$40,"",G74)</f>
        <v>15277248</v>
      </c>
      <c r="I74" s="24" t="n">
        <f aca="false">IF($A74&gt;$B$40,"",IFERROR(H74/$B$38,""))</f>
        <v>0.07638624</v>
      </c>
    </row>
    <row r="75" customFormat="false" ht="15" hidden="false" customHeight="false" outlineLevel="0" collapsed="false">
      <c r="A75" s="22" t="n">
        <v>2</v>
      </c>
      <c r="B75" s="23" t="n">
        <f aca="false">IF($A75&gt;$B$40,"",ROUND($B$62*(1+$B$9)^($A75-1),0))</f>
        <v>58995565</v>
      </c>
      <c r="C75" s="23" t="n">
        <f aca="false">IF($A75&gt;$B$40,"",$B$23*MIN(12,MAX(0,$B$24-($A75-1)*12))+$B$25*MIN(12,MAX(0,$B$26-($A75-1)*12))+$B$27*MIN(12,MAX(0,$B$28-($A75-1)*12)))</f>
        <v>24000000</v>
      </c>
      <c r="D75" s="23" t="n">
        <f aca="false">IF($A75&gt;$B$40,"",ROUND($B$67*(1+$B$35)^($A75-1),0))</f>
        <v>18360000</v>
      </c>
      <c r="E75" s="23" t="n">
        <f aca="false">IF($A75&gt;$B$40,"",ROUND(MAX(0,$B$38-$B$43*($A75-1))*$B$41,0))</f>
        <v>0</v>
      </c>
      <c r="F75" s="23" t="n">
        <f aca="false">IF($A75&gt;$B$40,"",MIN($B$43,MAX(0,$B$38-$B$43*($A75-1))))</f>
        <v>0</v>
      </c>
      <c r="G75" s="23" t="n">
        <f aca="false">IF($A75&gt;$B$40,"",B75-C75-D75-E75-F75)</f>
        <v>16635565</v>
      </c>
      <c r="H75" s="25" t="n">
        <f aca="false">IF($A75&gt;$B$40,"",N(H74)+G75)</f>
        <v>31912813</v>
      </c>
      <c r="I75" s="24" t="n">
        <f aca="false">IF($A75&gt;$B$40,"",IFERROR(H75/$B$38,""))</f>
        <v>0.159564065</v>
      </c>
    </row>
    <row r="76" customFormat="false" ht="15" hidden="false" customHeight="false" outlineLevel="0" collapsed="false">
      <c r="A76" s="22" t="n">
        <v>3</v>
      </c>
      <c r="B76" s="23" t="n">
        <f aca="false">IF($A76&gt;$B$40,"",ROUND($B$62*(1+$B$9)^($A76-1),0))</f>
        <v>60765432</v>
      </c>
      <c r="C76" s="23" t="n">
        <f aca="false">IF($A76&gt;$B$40,"",$B$23*MIN(12,MAX(0,$B$24-($A76-1)*12))+$B$25*MIN(12,MAX(0,$B$26-($A76-1)*12))+$B$27*MIN(12,MAX(0,$B$28-($A76-1)*12)))</f>
        <v>24000000</v>
      </c>
      <c r="D76" s="23" t="n">
        <f aca="false">IF($A76&gt;$B$40,"",ROUND($B$67*(1+$B$35)^($A76-1),0))</f>
        <v>18727200</v>
      </c>
      <c r="E76" s="23" t="n">
        <f aca="false">IF($A76&gt;$B$40,"",ROUND(MAX(0,$B$38-$B$43*($A76-1))*$B$41,0))</f>
        <v>0</v>
      </c>
      <c r="F76" s="23" t="n">
        <f aca="false">IF($A76&gt;$B$40,"",MIN($B$43,MAX(0,$B$38-$B$43*($A76-1))))</f>
        <v>0</v>
      </c>
      <c r="G76" s="23" t="n">
        <f aca="false">IF($A76&gt;$B$40,"",B76-C76-D76-E76-F76)</f>
        <v>18038232</v>
      </c>
      <c r="H76" s="25" t="n">
        <f aca="false">IF($A76&gt;$B$40,"",N(H75)+G76)</f>
        <v>49951045</v>
      </c>
      <c r="I76" s="24" t="n">
        <f aca="false">IF($A76&gt;$B$40,"",IFERROR(H76/$B$38,""))</f>
        <v>0.249755225</v>
      </c>
    </row>
    <row r="77" customFormat="false" ht="15" hidden="false" customHeight="false" outlineLevel="0" collapsed="false">
      <c r="A77" s="22" t="n">
        <v>4</v>
      </c>
      <c r="B77" s="23" t="n">
        <f aca="false">IF($A77&gt;$B$40,"",ROUND($B$62*(1+$B$9)^($A77-1),0))</f>
        <v>62588395</v>
      </c>
      <c r="C77" s="23" t="n">
        <f aca="false">IF($A77&gt;$B$40,"",$B$23*MIN(12,MAX(0,$B$24-($A77-1)*12))+$B$25*MIN(12,MAX(0,$B$26-($A77-1)*12))+$B$27*MIN(12,MAX(0,$B$28-($A77-1)*12)))</f>
        <v>20400000</v>
      </c>
      <c r="D77" s="23" t="n">
        <f aca="false">IF($A77&gt;$B$40,"",ROUND($B$67*(1+$B$35)^($A77-1),0))</f>
        <v>19101744</v>
      </c>
      <c r="E77" s="23" t="n">
        <f aca="false">IF($A77&gt;$B$40,"",ROUND(MAX(0,$B$38-$B$43*($A77-1))*$B$41,0))</f>
        <v>0</v>
      </c>
      <c r="F77" s="23" t="n">
        <f aca="false">IF($A77&gt;$B$40,"",MIN($B$43,MAX(0,$B$38-$B$43*($A77-1))))</f>
        <v>0</v>
      </c>
      <c r="G77" s="23" t="n">
        <f aca="false">IF($A77&gt;$B$40,"",B77-C77-D77-E77-F77)</f>
        <v>23086651</v>
      </c>
      <c r="H77" s="25" t="n">
        <f aca="false">IF($A77&gt;$B$40,"",N(H76)+G77)</f>
        <v>73037696</v>
      </c>
      <c r="I77" s="24" t="n">
        <f aca="false">IF($A77&gt;$B$40,"",IFERROR(H77/$B$38,""))</f>
        <v>0.36518848</v>
      </c>
    </row>
    <row r="78" customFormat="false" ht="15" hidden="false" customHeight="false" outlineLevel="0" collapsed="false">
      <c r="A78" s="22" t="n">
        <v>5</v>
      </c>
      <c r="B78" s="23" t="n">
        <f aca="false">IF($A78&gt;$B$40,"",ROUND($B$62*(1+$B$9)^($A78-1),0))</f>
        <v>64466047</v>
      </c>
      <c r="C78" s="23" t="n">
        <f aca="false">IF($A78&gt;$B$40,"",$B$23*MIN(12,MAX(0,$B$24-($A78-1)*12))+$B$25*MIN(12,MAX(0,$B$26-($A78-1)*12))+$B$27*MIN(12,MAX(0,$B$28-($A78-1)*12)))</f>
        <v>20400000</v>
      </c>
      <c r="D78" s="23" t="n">
        <f aca="false">IF($A78&gt;$B$40,"",ROUND($B$67*(1+$B$35)^($A78-1),0))</f>
        <v>19483779</v>
      </c>
      <c r="E78" s="23" t="n">
        <f aca="false">IF($A78&gt;$B$40,"",ROUND(MAX(0,$B$38-$B$43*($A78-1))*$B$41,0))</f>
        <v>0</v>
      </c>
      <c r="F78" s="23" t="n">
        <f aca="false">IF($A78&gt;$B$40,"",MIN($B$43,MAX(0,$B$38-$B$43*($A78-1))))</f>
        <v>0</v>
      </c>
      <c r="G78" s="23" t="n">
        <f aca="false">IF($A78&gt;$B$40,"",B78-C78-D78-E78-F78)</f>
        <v>24582268</v>
      </c>
      <c r="H78" s="25" t="n">
        <f aca="false">IF($A78&gt;$B$40,"",N(H77)+G78)</f>
        <v>97619964</v>
      </c>
      <c r="I78" s="24" t="n">
        <f aca="false">IF($A78&gt;$B$40,"",IFERROR(H78/$B$38,""))</f>
        <v>0.48809982</v>
      </c>
    </row>
    <row r="79" customFormat="false" ht="15" hidden="false" customHeight="false" outlineLevel="0" collapsed="false">
      <c r="A79" s="22" t="n">
        <v>6</v>
      </c>
      <c r="B79" s="23" t="str">
        <f aca="false">IF($A79&gt;$B$40,"",ROUND($B$62*(1+$B$9)^($A79-1),0))</f>
        <v/>
      </c>
      <c r="C79" s="23" t="str">
        <f aca="false">IF($A79&gt;$B$40,"",$B$23*MIN(12,MAX(0,$B$24-($A79-1)*12))+$B$25*MIN(12,MAX(0,$B$26-($A79-1)*12))+$B$27*MIN(12,MAX(0,$B$28-($A79-1)*12)))</f>
        <v/>
      </c>
      <c r="D79" s="23" t="str">
        <f aca="false">IF($A79&gt;$B$40,"",ROUND($B$67*(1+$B$35)^($A79-1),0))</f>
        <v/>
      </c>
      <c r="E79" s="23" t="str">
        <f aca="false">IF($A79&gt;$B$40,"",ROUND(MAX(0,$B$38-$B$43*($A79-1))*$B$41,0))</f>
        <v/>
      </c>
      <c r="F79" s="23" t="str">
        <f aca="false">IF($A79&gt;$B$40,"",MIN($B$43,MAX(0,$B$38-$B$43*($A79-1))))</f>
        <v/>
      </c>
      <c r="G79" s="23" t="str">
        <f aca="false">IF($A79&gt;$B$40,"",B79-C79-D79-E79-F79)</f>
        <v/>
      </c>
      <c r="H79" s="25" t="str">
        <f aca="false">IF($A79&gt;$B$40,"",N(H78)+G79)</f>
        <v/>
      </c>
      <c r="I79" s="24" t="str">
        <f aca="false">IF($A79&gt;$B$40,"",IFERROR(H79/$B$38,""))</f>
        <v/>
      </c>
    </row>
    <row r="80" customFormat="false" ht="15" hidden="false" customHeight="false" outlineLevel="0" collapsed="false">
      <c r="A80" s="22" t="n">
        <v>7</v>
      </c>
      <c r="B80" s="23" t="str">
        <f aca="false">IF($A80&gt;$B$40,"",ROUND($B$62*(1+$B$9)^($A80-1),0))</f>
        <v/>
      </c>
      <c r="C80" s="23" t="str">
        <f aca="false">IF($A80&gt;$B$40,"",$B$23*MIN(12,MAX(0,$B$24-($A80-1)*12))+$B$25*MIN(12,MAX(0,$B$26-($A80-1)*12))+$B$27*MIN(12,MAX(0,$B$28-($A80-1)*12)))</f>
        <v/>
      </c>
      <c r="D80" s="23" t="str">
        <f aca="false">IF($A80&gt;$B$40,"",ROUND($B$67*(1+$B$35)^($A80-1),0))</f>
        <v/>
      </c>
      <c r="E80" s="23" t="str">
        <f aca="false">IF($A80&gt;$B$40,"",ROUND(MAX(0,$B$38-$B$43*($A80-1))*$B$41,0))</f>
        <v/>
      </c>
      <c r="F80" s="23" t="str">
        <f aca="false">IF($A80&gt;$B$40,"",MIN($B$43,MAX(0,$B$38-$B$43*($A80-1))))</f>
        <v/>
      </c>
      <c r="G80" s="23" t="str">
        <f aca="false">IF($A80&gt;$B$40,"",B80-C80-D80-E80-F80)</f>
        <v/>
      </c>
      <c r="H80" s="25" t="str">
        <f aca="false">IF($A80&gt;$B$40,"",N(H79)+G80)</f>
        <v/>
      </c>
      <c r="I80" s="24" t="str">
        <f aca="false">IF($A80&gt;$B$40,"",IFERROR(H80/$B$38,""))</f>
        <v/>
      </c>
    </row>
    <row r="81" customFormat="false" ht="15" hidden="false" customHeight="false" outlineLevel="0" collapsed="false">
      <c r="A81" s="22" t="n">
        <v>8</v>
      </c>
      <c r="B81" s="23" t="str">
        <f aca="false">IF($A81&gt;$B$40,"",ROUND($B$62*(1+$B$9)^($A81-1),0))</f>
        <v/>
      </c>
      <c r="C81" s="23" t="str">
        <f aca="false">IF($A81&gt;$B$40,"",$B$23*MIN(12,MAX(0,$B$24-($A81-1)*12))+$B$25*MIN(12,MAX(0,$B$26-($A81-1)*12))+$B$27*MIN(12,MAX(0,$B$28-($A81-1)*12)))</f>
        <v/>
      </c>
      <c r="D81" s="23" t="str">
        <f aca="false">IF($A81&gt;$B$40,"",ROUND($B$67*(1+$B$35)^($A81-1),0))</f>
        <v/>
      </c>
      <c r="E81" s="23" t="str">
        <f aca="false">IF($A81&gt;$B$40,"",ROUND(MAX(0,$B$38-$B$43*($A81-1))*$B$41,0))</f>
        <v/>
      </c>
      <c r="F81" s="23" t="str">
        <f aca="false">IF($A81&gt;$B$40,"",MIN($B$43,MAX(0,$B$38-$B$43*($A81-1))))</f>
        <v/>
      </c>
      <c r="G81" s="23" t="str">
        <f aca="false">IF($A81&gt;$B$40,"",B81-C81-D81-E81-F81)</f>
        <v/>
      </c>
      <c r="H81" s="25" t="str">
        <f aca="false">IF($A81&gt;$B$40,"",N(H80)+G81)</f>
        <v/>
      </c>
      <c r="I81" s="24" t="str">
        <f aca="false">IF($A81&gt;$B$40,"",IFERROR(H81/$B$38,""))</f>
        <v/>
      </c>
    </row>
    <row r="82" customFormat="false" ht="15" hidden="false" customHeight="false" outlineLevel="0" collapsed="false">
      <c r="A82" s="22" t="n">
        <v>9</v>
      </c>
      <c r="B82" s="23" t="str">
        <f aca="false">IF($A82&gt;$B$40,"",ROUND($B$62*(1+$B$9)^($A82-1),0))</f>
        <v/>
      </c>
      <c r="C82" s="23" t="str">
        <f aca="false">IF($A82&gt;$B$40,"",$B$23*MIN(12,MAX(0,$B$24-($A82-1)*12))+$B$25*MIN(12,MAX(0,$B$26-($A82-1)*12))+$B$27*MIN(12,MAX(0,$B$28-($A82-1)*12)))</f>
        <v/>
      </c>
      <c r="D82" s="23" t="str">
        <f aca="false">IF($A82&gt;$B$40,"",ROUND($B$67*(1+$B$35)^($A82-1),0))</f>
        <v/>
      </c>
      <c r="E82" s="23" t="str">
        <f aca="false">IF($A82&gt;$B$40,"",ROUND(MAX(0,$B$38-$B$43*($A82-1))*$B$41,0))</f>
        <v/>
      </c>
      <c r="F82" s="23" t="str">
        <f aca="false">IF($A82&gt;$B$40,"",MIN($B$43,MAX(0,$B$38-$B$43*($A82-1))))</f>
        <v/>
      </c>
      <c r="G82" s="23" t="str">
        <f aca="false">IF($A82&gt;$B$40,"",B82-C82-D82-E82-F82)</f>
        <v/>
      </c>
      <c r="H82" s="25" t="str">
        <f aca="false">IF($A82&gt;$B$40,"",N(H81)+G82)</f>
        <v/>
      </c>
      <c r="I82" s="24" t="str">
        <f aca="false">IF($A82&gt;$B$40,"",IFERROR(H82/$B$38,""))</f>
        <v/>
      </c>
    </row>
    <row r="83" customFormat="false" ht="15" hidden="false" customHeight="false" outlineLevel="0" collapsed="false">
      <c r="A83" s="22" t="n">
        <v>10</v>
      </c>
      <c r="B83" s="23" t="str">
        <f aca="false">IF($A83&gt;$B$40,"",ROUND($B$62*(1+$B$9)^($A83-1),0))</f>
        <v/>
      </c>
      <c r="C83" s="23" t="str">
        <f aca="false">IF($A83&gt;$B$40,"",$B$23*MIN(12,MAX(0,$B$24-($A83-1)*12))+$B$25*MIN(12,MAX(0,$B$26-($A83-1)*12))+$B$27*MIN(12,MAX(0,$B$28-($A83-1)*12)))</f>
        <v/>
      </c>
      <c r="D83" s="23" t="str">
        <f aca="false">IF($A83&gt;$B$40,"",ROUND($B$67*(1+$B$35)^($A83-1),0))</f>
        <v/>
      </c>
      <c r="E83" s="23" t="str">
        <f aca="false">IF($A83&gt;$B$40,"",ROUND(MAX(0,$B$38-$B$43*($A83-1))*$B$41,0))</f>
        <v/>
      </c>
      <c r="F83" s="23" t="str">
        <f aca="false">IF($A83&gt;$B$40,"",MIN($B$43,MAX(0,$B$38-$B$43*($A83-1))))</f>
        <v/>
      </c>
      <c r="G83" s="23" t="str">
        <f aca="false">IF($A83&gt;$B$40,"",B83-C83-D83-E83-F83)</f>
        <v/>
      </c>
      <c r="H83" s="25" t="str">
        <f aca="false">IF($A83&gt;$B$40,"",N(H82)+G83)</f>
        <v/>
      </c>
      <c r="I83" s="24" t="str">
        <f aca="false">IF($A83&gt;$B$40,"",IFERROR(H83/$B$38,""))</f>
        <v/>
      </c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" hidden="false" customHeight="false" outlineLevel="0" collapsed="false">
      <c r="A85" s="10" t="s">
        <v>114</v>
      </c>
      <c r="B85" s="10"/>
      <c r="C85" s="10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2" t="s">
        <v>115</v>
      </c>
      <c r="B86" s="26" t="n">
        <f aca="false">MAX(0,$B$38-SUM($F$74:$F$83))</f>
        <v>200000000</v>
      </c>
      <c r="C86" s="6" t="s">
        <v>116</v>
      </c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2" t="s">
        <v>117</v>
      </c>
      <c r="B87" s="26" t="n">
        <f aca="false">IF($B$40&gt;10,"⚠ 기간 10년 초과 — 시뮬레이션 행 추가 필요",INDEX($H$74:$H$83,$B$40))</f>
        <v>97619964</v>
      </c>
      <c r="C87" s="6" t="s">
        <v>118</v>
      </c>
      <c r="D87" s="2"/>
      <c r="E87" s="2"/>
      <c r="F87" s="2"/>
      <c r="G87" s="2"/>
      <c r="H87" s="2"/>
      <c r="I87" s="2"/>
    </row>
    <row r="88" customFormat="false" ht="15" hidden="false" customHeight="false" outlineLevel="0" collapsed="false">
      <c r="A88" s="2" t="s">
        <v>119</v>
      </c>
      <c r="B88" s="27" t="n">
        <f aca="false">IF(NOT(ISNUMBER($B$87)),"-",IF($B$86=0,"원금 전액 분할상환 완료",$B$87/$B$86))</f>
        <v>0.48809982</v>
      </c>
      <c r="C88" s="20" t="s">
        <v>120</v>
      </c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2" t="s">
        <v>121</v>
      </c>
      <c r="B89" s="28" t="str">
        <f aca="false">IF(NOT(ISNUMBER($B$87)),"입력 확인 필요",IF(AND($B$87&gt;=$B$86*1.2,$B$92&gt;=0),"✅ 상환 여유 충분",IF(AND($B$87&gt;=$B$86,$B$92&gt;=0),"⚠ 상환 가능 (주의 요망)","❌ 상환 능력 부족 (증여 추정 위험)")))</f>
        <v>❌ 상환 능력 부족 (증여 추정 위험)</v>
      </c>
      <c r="C89" s="6" t="s">
        <v>122</v>
      </c>
      <c r="D89" s="2"/>
      <c r="E89" s="2"/>
      <c r="F89" s="2"/>
      <c r="G89" s="2"/>
      <c r="H89" s="2"/>
      <c r="I89" s="2"/>
    </row>
    <row r="90" customFormat="false" ht="15" hidden="false" customHeight="false" outlineLevel="0" collapsed="false">
      <c r="A90" s="2" t="s">
        <v>123</v>
      </c>
      <c r="B90" s="29" t="n">
        <f aca="false">IFERROR($B$38/$B$62,"")</f>
        <v>3.49178787360734</v>
      </c>
      <c r="C90" s="6" t="s">
        <v>124</v>
      </c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2" t="s">
        <v>125</v>
      </c>
      <c r="B91" s="30" t="n">
        <f aca="false">IFERROR(($B$63+$B$64)/$B$62,"")</f>
        <v>0.41901454483288</v>
      </c>
      <c r="C91" s="6" t="s">
        <v>126</v>
      </c>
      <c r="D91" s="2"/>
      <c r="E91" s="2"/>
      <c r="F91" s="2"/>
      <c r="G91" s="2"/>
      <c r="H91" s="2"/>
      <c r="I91" s="2"/>
    </row>
    <row r="92" customFormat="false" ht="15" hidden="false" customHeight="false" outlineLevel="0" collapsed="false">
      <c r="A92" s="2" t="s">
        <v>127</v>
      </c>
      <c r="B92" s="17" t="n">
        <f aca="false">$B$69</f>
        <v>760604</v>
      </c>
      <c r="C92" s="6" t="s">
        <v>128</v>
      </c>
      <c r="D92" s="2"/>
      <c r="E92" s="2"/>
      <c r="F92" s="2"/>
      <c r="G92" s="2"/>
      <c r="H92" s="2"/>
      <c r="I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</row>
    <row r="94" customFormat="false" ht="15" hidden="false" customHeight="false" outlineLevel="0" collapsed="false">
      <c r="A94" s="10" t="s">
        <v>129</v>
      </c>
      <c r="B94" s="10"/>
      <c r="C94" s="10"/>
      <c r="D94" s="2"/>
      <c r="E94" s="2"/>
      <c r="F94" s="2"/>
      <c r="G94" s="2"/>
      <c r="H94" s="2"/>
      <c r="I94" s="2"/>
    </row>
    <row r="95" customFormat="false" ht="15" hidden="false" customHeight="false" outlineLevel="0" collapsed="false">
      <c r="A95" s="2" t="s">
        <v>130</v>
      </c>
      <c r="B95" s="17" t="n">
        <f aca="false">ROUND($B$38*$B$47,0)</f>
        <v>9200000</v>
      </c>
      <c r="C95" s="6" t="s">
        <v>131</v>
      </c>
      <c r="D95" s="2"/>
      <c r="E95" s="2"/>
      <c r="F95" s="2"/>
      <c r="G95" s="2"/>
      <c r="H95" s="2"/>
      <c r="I95" s="2"/>
    </row>
    <row r="96" customFormat="false" ht="15" hidden="false" customHeight="false" outlineLevel="0" collapsed="false">
      <c r="A96" s="2" t="s">
        <v>132</v>
      </c>
      <c r="B96" s="17" t="n">
        <f aca="false">$B$64</f>
        <v>0</v>
      </c>
      <c r="C96" s="2"/>
      <c r="D96" s="2"/>
      <c r="E96" s="2"/>
      <c r="F96" s="2"/>
      <c r="G96" s="2"/>
      <c r="H96" s="2"/>
      <c r="I96" s="2"/>
    </row>
    <row r="97" customFormat="false" ht="15" hidden="false" customHeight="false" outlineLevel="0" collapsed="false">
      <c r="A97" s="2" t="s">
        <v>133</v>
      </c>
      <c r="B97" s="31" t="n">
        <f aca="false">MAX(0,$B$95-$B$96)</f>
        <v>9200000</v>
      </c>
      <c r="C97" s="6" t="s">
        <v>134</v>
      </c>
      <c r="D97" s="2"/>
      <c r="E97" s="2"/>
      <c r="F97" s="2"/>
      <c r="G97" s="2"/>
      <c r="H97" s="2"/>
      <c r="I97" s="2"/>
    </row>
    <row r="98" customFormat="false" ht="15" hidden="false" customHeight="false" outlineLevel="0" collapsed="false">
      <c r="A98" s="2" t="s">
        <v>135</v>
      </c>
      <c r="B98" s="32" t="str">
        <f aca="false">IF($B$97&gt;=$B$48,"❌ 과세 대상 — 이익 전액이 증여재산가액","✅ 비과세 (연 "&amp;TEXT($B$48,"#,##0")&amp;"원 미만)")</f>
        <v>✅ 비과세 (연 10,000,000원 미만)</v>
      </c>
      <c r="C98" s="6" t="s">
        <v>136</v>
      </c>
      <c r="D98" s="2"/>
      <c r="E98" s="2"/>
      <c r="F98" s="2"/>
      <c r="G98" s="2"/>
      <c r="H98" s="2"/>
      <c r="I98" s="2"/>
    </row>
    <row r="99" customFormat="false" ht="15" hidden="false" customHeight="false" outlineLevel="0" collapsed="false">
      <c r="A99" s="2" t="s">
        <v>137</v>
      </c>
      <c r="B99" s="17" t="n">
        <f aca="false">ROUND($B$48/$B$47,0)</f>
        <v>217391304</v>
      </c>
      <c r="C99" s="20" t="s">
        <v>138</v>
      </c>
      <c r="D99" s="2"/>
      <c r="E99" s="2"/>
      <c r="F99" s="2"/>
      <c r="G99" s="2"/>
      <c r="H99" s="2"/>
      <c r="I99" s="2"/>
    </row>
    <row r="100" customFormat="false" ht="15" hidden="false" customHeight="false" outlineLevel="0" collapsed="false">
      <c r="A100" s="2" t="s">
        <v>139</v>
      </c>
      <c r="B100" s="31" t="n">
        <f aca="false">$B$99-$B$38</f>
        <v>17391304</v>
      </c>
      <c r="C100" s="6" t="s">
        <v>140</v>
      </c>
      <c r="D100" s="2"/>
      <c r="E100" s="2"/>
      <c r="F100" s="2"/>
      <c r="G100" s="2"/>
      <c r="H100" s="2"/>
      <c r="I100" s="2"/>
    </row>
    <row r="101" customFormat="false" ht="15" hidden="false" customHeight="false" outlineLevel="0" collapsed="false">
      <c r="A101" s="2" t="s">
        <v>141</v>
      </c>
      <c r="B101" s="33" t="str">
        <f aca="false">IF($B$41&gt;0,"있음 — 지급월의 다음 달 10일까지 원천세 신고·납부","없음 (무이자)")</f>
        <v>없음 (무이자)</v>
      </c>
      <c r="C101" s="6" t="s">
        <v>142</v>
      </c>
      <c r="D101" s="2"/>
      <c r="E101" s="2"/>
      <c r="F101" s="2"/>
      <c r="G101" s="2"/>
      <c r="H101" s="2"/>
      <c r="I101" s="2"/>
    </row>
    <row r="102" customFormat="false" ht="129.75" hidden="false" customHeight="true" outlineLevel="0" collapsed="false">
      <c r="A102" s="2" t="s">
        <v>143</v>
      </c>
      <c r="B102" s="34" t="str">
        <f aca="false">IF($B$97&gt;=$B$48,"⚠ 무상대여 이익 "&amp;TEXT($B$97,"#,##0")&amp;"원이 연 "&amp;TEXT($B$48,"#,##0")&amp;"원 기준 이상 → 초과분이 아닌 이익 전액이 증여재산가액으로 과세될 수 있음."&amp;CHAR(10),"")&amp;IF(AND($B$41=0,$B$38&gt;$B$99),"⚠ 무이자 차용 원금이 안전 한도 "&amp;TEXT($B$99,"#,##0")&amp;"원을 초과. 원금을 낮추거나 최소 이자를 약정할 것."&amp;CHAR(10),"")&amp;IF($B$92&lt;0,"⚠ 성과급을 제외한 기본급만으로는 월 "&amp;TEXT(ABS($B$92),"#,##0")&amp;"원 적자 → 상환 재원을 변동 성과급에 의존. 소명 시 가장 취약한 지점."&amp;CHAR(10),"")&amp;IF($B$41&gt;0,"ℹ 이자 지급 시 27.5%를 원천징수해 다음 달 10일까지 납부해야 차용 사실이 인정됨."&amp;CHAR(10),"")&amp;IF($B$42="만기 일시 상환","ℹ 만기 일시·무이자 구조는 증여 추정이 가장 강한 형태. 매년 일부라도 원금을 이체하면 소명력이 크게 올라감."&amp;CHAR(10),"")&amp;IF($B$90&gt;5,"⚠ 차용 원금이 연 세후소득의 "&amp;TEXT($B$90,"0.0")&amp;"배 → 통상 소명 강도가 높아지는 구간."&amp;CHAR(10),"")&amp;IF($B$91&gt;0.4,"⚠ 생활 DSR "&amp;TEXT($B$91,"0.0%")&amp;" → 기존 부채만으로 상환 여력이 크게 잠식됨."&amp;CHAR(10),"")</f>
        <v>ℹ 만기 일시·무이자 구조는 증여 추정이 가장 강한 형태. 매년 일부라도 원금을 이체하면 소명력이 크게 올라감.
⚠ 생활 DSR 41.9% → 기존 부채만으로 상환 여력이 크게 잠식됨.
</v>
      </c>
      <c r="C102" s="2"/>
      <c r="D102" s="2"/>
      <c r="E102" s="2"/>
      <c r="F102" s="2"/>
      <c r="G102" s="2"/>
      <c r="H102" s="2"/>
      <c r="I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</row>
    <row r="104" customFormat="false" ht="15" hidden="false" customHeight="false" outlineLevel="0" collapsed="false">
      <c r="A104" s="10" t="s">
        <v>144</v>
      </c>
      <c r="B104" s="10"/>
      <c r="C104" s="10"/>
      <c r="D104" s="10"/>
      <c r="E104" s="2"/>
      <c r="F104" s="2"/>
      <c r="G104" s="2"/>
      <c r="H104" s="2"/>
      <c r="I104" s="2"/>
    </row>
    <row r="105" customFormat="false" ht="15" hidden="false" customHeight="false" outlineLevel="0" collapsed="false">
      <c r="A105" s="35" t="s">
        <v>145</v>
      </c>
      <c r="B105" s="35" t="s">
        <v>146</v>
      </c>
      <c r="C105" s="35" t="s">
        <v>147</v>
      </c>
      <c r="D105" s="35" t="s">
        <v>148</v>
      </c>
      <c r="E105" s="2"/>
      <c r="F105" s="2"/>
      <c r="G105" s="2"/>
      <c r="H105" s="2"/>
      <c r="I105" s="2"/>
    </row>
    <row r="106" customFormat="false" ht="15" hidden="false" customHeight="false" outlineLevel="0" collapsed="false">
      <c r="A106" s="36" t="n">
        <v>0</v>
      </c>
      <c r="B106" s="23" t="n">
        <f aca="false">IF(NOT(ISNUMBER($B$87)),"",ROUND($B$87-($B$10-$A106)*ROUND($B$7*(1-$B$20),0)*IF($B$9=0,$B$40,((1+$B$9)^$B$40-1)/$B$9),0))</f>
        <v>64968779</v>
      </c>
      <c r="C106" s="24" t="n">
        <f aca="false">IF(OR(NOT(ISNUMBER(B106)),$B$86=0),"-",B106/$B$86)</f>
        <v>0.324843895</v>
      </c>
      <c r="D106" s="37" t="str">
        <f aca="false">IF(NOT(ISNUMBER(B106)),"",IF(B106&gt;=$B$86*1.2,"✅ 여유 충분",IF(B106&gt;=$B$86,"⚠ 가능(주의)","❌ 부족")))</f>
        <v>❌ 부족</v>
      </c>
      <c r="E106" s="2"/>
      <c r="F106" s="2"/>
      <c r="G106" s="2"/>
      <c r="H106" s="2"/>
      <c r="I106" s="2"/>
    </row>
    <row r="107" customFormat="false" ht="15" hidden="false" customHeight="false" outlineLevel="0" collapsed="false">
      <c r="A107" s="36" t="n">
        <v>0.5</v>
      </c>
      <c r="B107" s="23" t="n">
        <f aca="false">IF(NOT(ISNUMBER($B$87)),"",ROUND($B$87-($B$10-$A107)*ROUND($B$7*(1-$B$20),0)*IF($B$9=0,$B$40,((1+$B$9)^$B$40-1)/$B$9),0))</f>
        <v>81294371</v>
      </c>
      <c r="C107" s="24" t="n">
        <f aca="false">IF(OR(NOT(ISNUMBER(B107)),$B$86=0),"-",B107/$B$86)</f>
        <v>0.406471855</v>
      </c>
      <c r="D107" s="37" t="str">
        <f aca="false">IF(NOT(ISNUMBER(B107)),"",IF(B107&gt;=$B$86*1.2,"✅ 여유 충분",IF(B107&gt;=$B$86,"⚠ 가능(주의)","❌ 부족")))</f>
        <v>❌ 부족</v>
      </c>
      <c r="E107" s="2"/>
      <c r="F107" s="2"/>
      <c r="G107" s="2"/>
      <c r="H107" s="2"/>
      <c r="I107" s="2"/>
    </row>
    <row r="108" customFormat="false" ht="15" hidden="false" customHeight="false" outlineLevel="0" collapsed="false">
      <c r="A108" s="36" t="n">
        <v>1</v>
      </c>
      <c r="B108" s="23" t="n">
        <f aca="false">IF(NOT(ISNUMBER($B$87)),"",ROUND($B$87-($B$10-$A108)*ROUND($B$7*(1-$B$20),0)*IF($B$9=0,$B$40,((1+$B$9)^$B$40-1)/$B$9),0))</f>
        <v>97619964</v>
      </c>
      <c r="C108" s="24" t="n">
        <f aca="false">IF(OR(NOT(ISNUMBER(B108)),$B$86=0),"-",B108/$B$86)</f>
        <v>0.48809982</v>
      </c>
      <c r="D108" s="37" t="str">
        <f aca="false">IF(NOT(ISNUMBER(B108)),"",IF(B108&gt;=$B$86*1.2,"✅ 여유 충분",IF(B108&gt;=$B$86,"⚠ 가능(주의)","❌ 부족")))</f>
        <v>❌ 부족</v>
      </c>
      <c r="E108" s="2"/>
      <c r="F108" s="2"/>
      <c r="G108" s="2"/>
      <c r="H108" s="2"/>
      <c r="I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</row>
    <row r="110" customFormat="false" ht="15" hidden="false" customHeight="false" outlineLevel="0" collapsed="false">
      <c r="A110" s="10" t="s">
        <v>149</v>
      </c>
      <c r="B110" s="10"/>
      <c r="C110" s="10"/>
      <c r="D110" s="2"/>
      <c r="E110" s="2"/>
      <c r="F110" s="2"/>
      <c r="G110" s="2"/>
      <c r="H110" s="2"/>
      <c r="I110" s="2"/>
    </row>
    <row r="111" customFormat="false" ht="15" hidden="false" customHeight="false" outlineLevel="0" collapsed="false">
      <c r="A111" s="2" t="s">
        <v>150</v>
      </c>
      <c r="B111" s="38" t="s">
        <v>151</v>
      </c>
      <c r="C111" s="6" t="s">
        <v>152</v>
      </c>
      <c r="D111" s="2"/>
      <c r="E111" s="2"/>
      <c r="F111" s="2"/>
      <c r="G111" s="2"/>
      <c r="H111" s="2"/>
      <c r="I111" s="2"/>
    </row>
    <row r="112" customFormat="false" ht="15" hidden="false" customHeight="false" outlineLevel="0" collapsed="false">
      <c r="A112" s="2" t="s">
        <v>153</v>
      </c>
      <c r="B112" s="38" t="s">
        <v>151</v>
      </c>
      <c r="C112" s="6" t="s">
        <v>154</v>
      </c>
      <c r="D112" s="2"/>
      <c r="E112" s="2"/>
      <c r="F112" s="2"/>
      <c r="G112" s="2"/>
      <c r="H112" s="2"/>
      <c r="I112" s="2"/>
    </row>
    <row r="113" customFormat="false" ht="15" hidden="false" customHeight="false" outlineLevel="0" collapsed="false">
      <c r="A113" s="2" t="s">
        <v>155</v>
      </c>
      <c r="B113" s="38" t="s">
        <v>151</v>
      </c>
      <c r="C113" s="6" t="s">
        <v>156</v>
      </c>
      <c r="D113" s="2"/>
      <c r="E113" s="2"/>
      <c r="F113" s="2"/>
      <c r="G113" s="2"/>
      <c r="H113" s="2"/>
      <c r="I113" s="2"/>
    </row>
    <row r="114" customFormat="false" ht="15" hidden="false" customHeight="false" outlineLevel="0" collapsed="false">
      <c r="A114" s="2" t="s">
        <v>157</v>
      </c>
      <c r="B114" s="38" t="s">
        <v>151</v>
      </c>
      <c r="C114" s="6" t="s">
        <v>158</v>
      </c>
      <c r="D114" s="2"/>
      <c r="E114" s="2"/>
      <c r="F114" s="2"/>
      <c r="G114" s="2"/>
      <c r="H114" s="2"/>
      <c r="I114" s="2"/>
    </row>
    <row r="115" customFormat="false" ht="15" hidden="false" customHeight="false" outlineLevel="0" collapsed="false">
      <c r="A115" s="2" t="s">
        <v>159</v>
      </c>
      <c r="B115" s="38" t="s">
        <v>151</v>
      </c>
      <c r="C115" s="6" t="s">
        <v>160</v>
      </c>
      <c r="D115" s="2"/>
      <c r="E115" s="2"/>
      <c r="F115" s="2"/>
      <c r="G115" s="2"/>
      <c r="H115" s="2"/>
      <c r="I115" s="2"/>
    </row>
    <row r="116" customFormat="false" ht="15" hidden="false" customHeight="false" outlineLevel="0" collapsed="false">
      <c r="A116" s="2" t="s">
        <v>161</v>
      </c>
      <c r="B116" s="38" t="s">
        <v>151</v>
      </c>
      <c r="C116" s="6" t="s">
        <v>162</v>
      </c>
      <c r="D116" s="2"/>
      <c r="E116" s="2"/>
      <c r="F116" s="2"/>
      <c r="G116" s="2"/>
      <c r="H116" s="2"/>
      <c r="I116" s="2"/>
    </row>
    <row r="117" customFormat="false" ht="15" hidden="false" customHeight="false" outlineLevel="0" collapsed="false">
      <c r="A117" s="2" t="s">
        <v>163</v>
      </c>
      <c r="B117" s="38" t="s">
        <v>151</v>
      </c>
      <c r="C117" s="6" t="s">
        <v>164</v>
      </c>
      <c r="D117" s="2"/>
      <c r="E117" s="2"/>
      <c r="F117" s="2"/>
      <c r="G117" s="2"/>
      <c r="H117" s="2"/>
      <c r="I117" s="2"/>
    </row>
    <row r="118" customFormat="false" ht="15" hidden="false" customHeight="false" outlineLevel="0" collapsed="false">
      <c r="A118" s="2" t="s">
        <v>165</v>
      </c>
      <c r="B118" s="38" t="s">
        <v>151</v>
      </c>
      <c r="C118" s="6" t="s">
        <v>166</v>
      </c>
      <c r="D118" s="2"/>
      <c r="E118" s="2"/>
      <c r="F118" s="2"/>
      <c r="G118" s="2"/>
      <c r="H118" s="2"/>
      <c r="I118" s="2"/>
    </row>
    <row r="119" customFormat="false" ht="15" hidden="false" customHeight="false" outlineLevel="0" collapsed="false">
      <c r="A119" s="2" t="s">
        <v>167</v>
      </c>
      <c r="B119" s="38" t="s">
        <v>151</v>
      </c>
      <c r="C119" s="6" t="s">
        <v>168</v>
      </c>
      <c r="D119" s="2"/>
      <c r="E119" s="2"/>
      <c r="F119" s="2"/>
      <c r="G119" s="2"/>
      <c r="H119" s="2"/>
      <c r="I119" s="2"/>
    </row>
    <row r="120" customFormat="false" ht="15" hidden="false" customHeight="false" outlineLevel="0" collapsed="false">
      <c r="A120" s="2" t="s">
        <v>169</v>
      </c>
      <c r="B120" s="38" t="s">
        <v>151</v>
      </c>
      <c r="C120" s="6" t="s">
        <v>170</v>
      </c>
      <c r="D120" s="2"/>
      <c r="E120" s="2"/>
      <c r="F120" s="2"/>
      <c r="G120" s="2"/>
      <c r="H120" s="2"/>
      <c r="I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</row>
    <row r="122" customFormat="false" ht="15" hidden="false" customHeight="true" outlineLevel="0" collapsed="false">
      <c r="A122" s="39" t="s">
        <v>171</v>
      </c>
      <c r="B122" s="39"/>
      <c r="C122" s="39"/>
      <c r="D122" s="39"/>
      <c r="E122" s="39"/>
      <c r="F122" s="39"/>
      <c r="G122" s="39"/>
      <c r="H122" s="39"/>
      <c r="I122" s="39"/>
    </row>
  </sheetData>
  <mergeCells count="2">
    <mergeCell ref="A1:I1"/>
    <mergeCell ref="A122:I122"/>
  </mergeCells>
  <conditionalFormatting sqref="B89">
    <cfRule type="expression" priority="2" aboveAverage="0" equalAverage="0" bottom="0" percent="0" rank="0" text="" dxfId="0">
      <formula>ISNUMBER(SEARCH("충분",B89))</formula>
    </cfRule>
    <cfRule type="expression" priority="3" aboveAverage="0" equalAverage="0" bottom="0" percent="0" rank="0" text="" dxfId="1">
      <formula>ISNUMBER(SEARCH("주의",B89))</formula>
    </cfRule>
    <cfRule type="expression" priority="4" aboveAverage="0" equalAverage="0" bottom="0" percent="0" rank="0" text="" dxfId="2">
      <formula>ISNUMBER(SEARCH("부족",B89))</formula>
    </cfRule>
  </conditionalFormatting>
  <conditionalFormatting sqref="D106:D108">
    <cfRule type="expression" priority="5" aboveAverage="0" equalAverage="0" bottom="0" percent="0" rank="0" text="" dxfId="0">
      <formula>ISNUMBER(SEARCH("충분",D106))</formula>
    </cfRule>
    <cfRule type="expression" priority="6" aboveAverage="0" equalAverage="0" bottom="0" percent="0" rank="0" text="" dxfId="1">
      <formula>ISNUMBER(SEARCH("주의",D106))</formula>
    </cfRule>
    <cfRule type="expression" priority="7" aboveAverage="0" equalAverage="0" bottom="0" percent="0" rank="0" text="" dxfId="2">
      <formula>ISNUMBER(SEARCH("부족",D106))</formula>
    </cfRule>
  </conditionalFormatting>
  <conditionalFormatting sqref="B88">
    <cfRule type="cellIs" priority="8" operator="greaterThanOrEqual" aboveAverage="0" equalAverage="0" bottom="0" percent="0" rank="0" text="" dxfId="3">
      <formula>1.2</formula>
    </cfRule>
    <cfRule type="cellIs" priority="9" operator="lessThan" aboveAverage="0" equalAverage="0" bottom="0" percent="0" rank="0" text="" dxfId="4">
      <formula>1</formula>
    </cfRule>
  </conditionalFormatting>
  <conditionalFormatting sqref="C106:C108">
    <cfRule type="cellIs" priority="10" operator="greaterThanOrEqual" aboveAverage="0" equalAverage="0" bottom="0" percent="0" rank="0" text="" dxfId="3">
      <formula>1.2</formula>
    </cfRule>
    <cfRule type="cellIs" priority="11" operator="lessThan" aboveAverage="0" equalAverage="0" bottom="0" percent="0" rank="0" text="" dxfId="4">
      <formula>1</formula>
    </cfRule>
  </conditionalFormatting>
  <conditionalFormatting sqref="B68:B70">
    <cfRule type="cellIs" priority="12" operator="lessThan" aboveAverage="0" equalAverage="0" bottom="0" percent="0" rank="0" text="" dxfId="5">
      <formula>0</formula>
    </cfRule>
  </conditionalFormatting>
  <conditionalFormatting sqref="B92">
    <cfRule type="cellIs" priority="13" operator="lessThan" aboveAverage="0" equalAverage="0" bottom="0" percent="0" rank="0" text="" dxfId="5">
      <formula>0</formula>
    </cfRule>
  </conditionalFormatting>
  <conditionalFormatting sqref="B100">
    <cfRule type="cellIs" priority="14" operator="lessThan" aboveAverage="0" equalAverage="0" bottom="0" percent="0" rank="0" text="" dxfId="5">
      <formula>0</formula>
    </cfRule>
  </conditionalFormatting>
  <conditionalFormatting sqref="G74:H83">
    <cfRule type="cellIs" priority="15" operator="lessThan" aboveAverage="0" equalAverage="0" bottom="0" percent="0" rank="0" text="" dxfId="5">
      <formula>0</formula>
    </cfRule>
  </conditionalFormatting>
  <conditionalFormatting sqref="B98">
    <cfRule type="expression" priority="16" aboveAverage="0" equalAverage="0" bottom="0" percent="0" rank="0" text="" dxfId="2">
      <formula>ISNUMBER(SEARCH("과세 대상",B98))</formula>
    </cfRule>
  </conditionalFormatting>
  <conditionalFormatting sqref="I74:I83">
    <cfRule type="colorScale" priority="17">
      <colorScale>
        <cfvo type="num" val="0"/>
        <cfvo type="num" val="1"/>
        <cfvo type="num" val="1.2"/>
        <color rgb="FFF8696B"/>
        <color rgb="FFFFEB84"/>
        <color rgb="FF63BE7B"/>
      </colorScale>
    </cfRule>
  </conditionalFormatting>
  <dataValidations count="5">
    <dataValidation allowBlank="false" errorStyle="stop" operator="between" showDropDown="false" showErrorMessage="false" showInputMessage="false" sqref="B11" type="list">
      <formula1>"포함,미포함"</formula1>
      <formula2>0</formula2>
    </dataValidation>
    <dataValidation allowBlank="false" errorStyle="stop" operator="between" showDropDown="false" showErrorMessage="false" showInputMessage="false" sqref="B42" type="list">
      <formula1>"만기 일시 상환,원금 분할 상환"</formula1>
      <formula2>0</formula2>
    </dataValidation>
    <dataValidation allowBlank="false" errorStyle="stop" operator="between" showDropDown="false" showErrorMessage="false" showInputMessage="false" sqref="B111:B120" type="list">
      <formula1>"☐,☑"</formula1>
      <formula2>0</formula2>
    </dataValidation>
    <dataValidation allowBlank="false" error="1~10년 사이로 입력하세요. 10년 초과는 시뮬레이션 행을 추가해야 합니다." errorStyle="stop" operator="between" showDropDown="false" showErrorMessage="false" showInputMessage="false" sqref="B40" type="whole">
      <formula1>1</formula1>
      <formula2>10</formula2>
    </dataValidation>
    <dataValidation allowBlank="false" error="0 이상의 숫자를 입력하세요." errorStyle="stop" operator="greaterThanOrEqual" showDropDown="false" showErrorMessage="false" showInputMessage="false" sqref="B6:B8 B23 B25 B27 B32:B33 B38 B4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2026-09-15T12:35:09Z</dcterms:created>
  <dc:creator>openpyxl</dc:creator>
  <dc:description/>
  <dc:language>en-US</dc:language>
  <cp:lastModifiedBy/>
  <dcterms:modified xsi:type="dcterms:W3CDTF">2026-09-15T12:35:09Z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