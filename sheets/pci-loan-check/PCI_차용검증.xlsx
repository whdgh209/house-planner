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CI_차용검증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#,##0&quot;원&quot;"/>
    <numFmt numFmtId="166" formatCode="0.0%"/>
    <numFmt numFmtId="167" formatCode="#,##0&quot;개월&quot;"/>
    <numFmt numFmtId="168" formatCode="0&quot;년&quot;"/>
    <numFmt numFmtId="169" formatCode="0.00&quot;배&quot;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color rgb="007F7F7F"/>
      <sz val="9"/>
    </font>
    <font>
      <name val="Arial"/>
      <b val="1"/>
    </font>
    <font>
      <name val="Arial"/>
      <sz val="9"/>
    </font>
    <font>
      <name val="Arial"/>
      <color theme="1"/>
      <sz val="11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CE4E4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5" fillId="0" borderId="0" pivotButton="0" quotePrefix="0" xfId="0"/>
    <xf numFmtId="164" fontId="5" fillId="3" borderId="0" pivotButton="0" quotePrefix="0" xfId="0"/>
    <xf numFmtId="0" fontId="3" fillId="0" borderId="0" pivotButton="0" quotePrefix="0" xfId="0"/>
    <xf numFmtId="0" fontId="3" fillId="4" borderId="0" pivotButton="0" quotePrefix="0" xfId="0"/>
    <xf numFmtId="0" fontId="2" fillId="0" borderId="0" pivotButton="0" quotePrefix="0" xfId="0"/>
    <xf numFmtId="0" fontId="5" fillId="4" borderId="1" pivotButton="0" quotePrefix="0" xfId="0"/>
    <xf numFmtId="0" fontId="4" fillId="0" borderId="0" pivotButton="0" quotePrefix="0" xfId="0"/>
    <xf numFmtId="0" fontId="5" fillId="3" borderId="1" pivotButton="0" quotePrefix="0" xfId="0"/>
    <xf numFmtId="0" fontId="3" fillId="7" borderId="0" pivotButton="0" quotePrefix="0" xfId="0"/>
    <xf numFmtId="0" fontId="5" fillId="5" borderId="1" pivotButton="0" quotePrefix="0" xfId="0"/>
    <xf numFmtId="165" fontId="3" fillId="4" borderId="0" pivotButton="0" quotePrefix="0" xfId="0"/>
    <xf numFmtId="0" fontId="5" fillId="6" borderId="1" pivotButton="0" quotePrefix="0" xfId="0"/>
    <xf numFmtId="166" fontId="3" fillId="4" borderId="0" pivotButton="0" quotePrefix="0" xfId="0"/>
    <xf numFmtId="10" fontId="3" fillId="4" borderId="0" pivotButton="0" quotePrefix="0" xfId="0"/>
    <xf numFmtId="167" fontId="3" fillId="4" borderId="0" pivotButton="0" quotePrefix="0" xfId="0"/>
    <xf numFmtId="165" fontId="5" fillId="3" borderId="0" pivotButton="0" quotePrefix="0" xfId="0"/>
    <xf numFmtId="164" fontId="3" fillId="4" borderId="0" pivotButton="0" quotePrefix="0" xfId="0"/>
    <xf numFmtId="168" fontId="3" fillId="4" borderId="0" pivotButton="0" quotePrefix="0" xfId="0"/>
    <xf numFmtId="0" fontId="3" fillId="3" borderId="1" applyAlignment="1" pivotButton="0" quotePrefix="0" xfId="0">
      <alignment horizontal="center" wrapText="1"/>
    </xf>
    <xf numFmtId="168" fontId="3" fillId="0" borderId="1" applyAlignment="1" pivotButton="0" quotePrefix="0" xfId="0">
      <alignment horizontal="center"/>
    </xf>
    <xf numFmtId="3" fontId="5" fillId="0" borderId="1" pivotButton="0" quotePrefix="0" xfId="0"/>
    <xf numFmtId="0" fontId="5" fillId="0" borderId="1" pivotButton="0" quotePrefix="0" xfId="0"/>
    <xf numFmtId="166" fontId="5" fillId="0" borderId="1" pivotButton="0" quotePrefix="0" xfId="0"/>
    <xf numFmtId="165" fontId="3" fillId="5" borderId="0" pivotButton="0" quotePrefix="0" xfId="0"/>
    <xf numFmtId="166" fontId="3" fillId="5" borderId="0" pivotButton="0" quotePrefix="0" xfId="0"/>
    <xf numFmtId="0" fontId="3" fillId="5" borderId="0" pivotButton="0" quotePrefix="0" xfId="0"/>
    <xf numFmtId="169" fontId="5" fillId="3" borderId="0" pivotButton="0" quotePrefix="0" xfId="0"/>
    <xf numFmtId="166" fontId="5" fillId="3" borderId="0" pivotButton="0" quotePrefix="0" xfId="0"/>
    <xf numFmtId="165" fontId="3" fillId="6" borderId="0" pivotButton="0" quotePrefix="0" xfId="0"/>
    <xf numFmtId="0" fontId="3" fillId="6" borderId="0" pivotButton="0" quotePrefix="0" xfId="0"/>
    <xf numFmtId="0" fontId="5" fillId="3" borderId="0" pivotButton="0" quotePrefix="0" xfId="0"/>
    <xf numFmtId="0" fontId="3" fillId="6" borderId="0" applyAlignment="1" pivotButton="0" quotePrefix="0" xfId="0">
      <alignment vertical="top" wrapText="1"/>
    </xf>
    <xf numFmtId="0" fontId="3" fillId="3" borderId="1" applyAlignment="1" pivotButton="0" quotePrefix="0" xfId="0">
      <alignment horizontal="center"/>
    </xf>
    <xf numFmtId="9" fontId="3" fillId="0" borderId="1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2" fillId="0" borderId="0" applyAlignment="1" pivotButton="0" quotePrefix="0" xfId="0">
      <alignment wrapText="1"/>
    </xf>
  </cellXfs>
  <cellStyles count="1">
    <cellStyle name="Normal" xfId="0" builtinId="0" hidden="0"/>
  </cellStyles>
  <dxfs count="6">
    <dxf>
      <font>
        <b val="1"/>
        <color rgb="00006100"/>
      </font>
      <fill>
        <patternFill patternType="solid">
          <fgColor rgb="00C6EFCE"/>
          <bgColor rgb="00C6EFCE"/>
        </patternFill>
      </fill>
    </dxf>
    <dxf>
      <font>
        <b val="1"/>
        <color rgb="009C6500"/>
      </font>
      <fill>
        <patternFill patternType="solid">
          <fgColor rgb="00FFEB9C"/>
          <bgColor rgb="00FFEB9C"/>
        </patternFill>
      </fill>
    </dxf>
    <dxf>
      <font>
        <b val="1"/>
        <color rgb="009C0006"/>
      </font>
      <fill>
        <patternFill patternType="solid">
          <fgColor rgb="00FFC7CE"/>
          <bgColor rgb="00FFC7CE"/>
        </patternFill>
      </fill>
    </dxf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  <dxf>
      <font>
        <b val="1"/>
        <color rgb="009C0006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PCI 검증 시트</author>
  </authors>
  <commentList>
    <comment ref="B15" authorId="0" shapeId="0">
      <text>
        <t>2025.7~2026.6 적용 국민연금 기준소득월액 상한. 매년 7월 고시 변경 — 국민연금공단 공고 확인 필요.</t>
      </text>
    </comment>
    <comment ref="B16" authorId="0" shapeId="0">
      <text>
        <t>2025년 건강보험료율 7.09%의 근로자 부담분 절반.</t>
      </text>
    </comment>
    <comment ref="B17" authorId="0" shapeId="0">
      <text>
        <t>2025년 장기요양보험료율 (건강보험료 대비).</t>
      </text>
    </comment>
    <comment ref="B19" authorId="0" shapeId="0">
      <text>
        <t>간이세액표 기반 추산 예시값. 정확도를 높이려면 전년도 근로소득 원천징수영수증의 결정세액 ÷ 총급여로 역산해 입력하세요.</t>
      </text>
    </comment>
    <comment ref="B20" authorId="0" shapeId="0">
      <text>
        <t>과세표준 8,800만~1.5억 구간 세율 35% + 지방소득세 3.5% 가정. 본인 과표 구간에 맞게 수정하세요.</t>
      </text>
    </comment>
    <comment ref="B47" authorId="0" shapeId="0">
      <text>
        <t>상속세 및 증여세법 시행령 제31조의4 — 금전 무상대출 등에 따른 이익의 증여 시 적정이자율.</t>
      </text>
    </comment>
    <comment ref="B48" authorId="0" shapeId="0">
      <text>
        <t>상증세법 §41조의4 — 무상대여 이익이 연 1천만원 이상이면 그 이익 전액이 증여재산가액.</t>
      </text>
    </comment>
    <comment ref="B49" authorId="0" shapeId="0">
      <text>
        <t>비영업대금의 이익 원천징수세율. 소득세 25% + 지방소득세 2.5%.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3" customWidth="1" min="2" max="2"/>
    <col width="42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</cols>
  <sheetData>
    <row r="1" ht="34" customHeight="1">
      <c r="A1" s="1" t="inlineStr">
        <is>
          <t>개인 간 차용 및 상환능력 검증 (PCI 세무 리스크 사전 점검)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2" t="inlineStr">
        <is>
          <t>작성 기준일</t>
        </is>
      </c>
      <c r="B2" s="3">
        <f>TODAY()</f>
        <v/>
      </c>
      <c r="C2" s="2" t="n"/>
      <c r="D2" s="2" t="n"/>
      <c r="E2" s="4" t="inlineStr">
        <is>
          <t>■ 범례 — 읽는 법</t>
        </is>
      </c>
      <c r="F2" s="2" t="n"/>
      <c r="G2" s="2" t="n"/>
      <c r="H2" s="2" t="n"/>
      <c r="I2" s="2" t="n"/>
    </row>
    <row r="3">
      <c r="A3" s="2" t="inlineStr">
        <is>
          <t>차입자 / 대여자</t>
        </is>
      </c>
      <c r="B3" s="5" t="inlineStr">
        <is>
          <t>봄 / 종호</t>
        </is>
      </c>
      <c r="C3" s="6" t="inlineStr">
        <is>
          <t>차입자 = 돈을 빌리는 사람</t>
        </is>
      </c>
      <c r="D3" s="2" t="n"/>
      <c r="E3" s="7" t="n"/>
      <c r="F3" s="8" t="inlineStr">
        <is>
          <t>입력 셀 — 여기만 고치면 됩니다</t>
        </is>
      </c>
      <c r="G3" s="2" t="n"/>
      <c r="H3" s="2" t="n"/>
      <c r="I3" s="2" t="n"/>
    </row>
    <row r="4">
      <c r="A4" s="2" t="n"/>
      <c r="B4" s="2" t="n"/>
      <c r="C4" s="2" t="n"/>
      <c r="D4" s="2" t="n"/>
      <c r="E4" s="9" t="n"/>
      <c r="F4" s="8" t="inlineStr">
        <is>
          <t>자동 계산 — 건드리지 마세요</t>
        </is>
      </c>
      <c r="G4" s="2" t="n"/>
      <c r="H4" s="2" t="n"/>
      <c r="I4" s="2" t="n"/>
    </row>
    <row r="5">
      <c r="A5" s="10" t="inlineStr">
        <is>
          <t>■ 1. 소득 정보  [입력]</t>
        </is>
      </c>
      <c r="B5" s="10" t="n"/>
      <c r="C5" s="10" t="n"/>
      <c r="D5" s="2" t="n"/>
      <c r="E5" s="11" t="n"/>
      <c r="F5" s="8" t="inlineStr">
        <is>
          <t>판정 결과</t>
        </is>
      </c>
      <c r="G5" s="2" t="n"/>
      <c r="H5" s="2" t="n"/>
      <c r="I5" s="2" t="n"/>
    </row>
    <row r="6">
      <c r="A6" s="2" t="inlineStr">
        <is>
          <t>기본 연봉 (세전)</t>
        </is>
      </c>
      <c r="B6" s="12" t="n">
        <v>60000000</v>
      </c>
      <c r="C6" s="6" t="inlineStr">
        <is>
          <t>근로계약서 기준 — 예시값</t>
        </is>
      </c>
      <c r="D6" s="2" t="n"/>
      <c r="E6" s="13" t="n"/>
      <c r="F6" s="8" t="inlineStr">
        <is>
          <t>세무 리스크 진단</t>
        </is>
      </c>
      <c r="G6" s="2" t="n"/>
      <c r="H6" s="2" t="n"/>
      <c r="I6" s="2" t="n"/>
    </row>
    <row r="7">
      <c r="A7" s="2" t="inlineStr">
        <is>
          <t>연간 예상 성과상여금 (세전)</t>
        </is>
      </c>
      <c r="B7" s="12" t="n">
        <v>10000000</v>
      </c>
      <c r="C7" s="6" t="inlineStr">
        <is>
          <t>변동 재원 — 판정에서 별도 취급</t>
        </is>
      </c>
      <c r="D7" s="2" t="n"/>
      <c r="E7" s="2" t="n"/>
      <c r="F7" s="2" t="n"/>
      <c r="G7" s="2" t="n"/>
      <c r="H7" s="2" t="n"/>
      <c r="I7" s="2" t="n"/>
    </row>
    <row r="8">
      <c r="A8" s="2" t="inlineStr">
        <is>
          <t>비과세 식대 (월)</t>
        </is>
      </c>
      <c r="B8" s="12" t="n">
        <v>200000</v>
      </c>
      <c r="C8" s="6" t="inlineStr">
        <is>
          <t>월 20만원 한도</t>
        </is>
      </c>
      <c r="D8" s="2" t="n"/>
      <c r="E8" s="6" t="inlineStr">
        <is>
          <t>요율은 B14:B20, 법정 기준값은 B47:B49에서 수정하세요.</t>
        </is>
      </c>
      <c r="F8" s="2" t="n"/>
      <c r="G8" s="2" t="n"/>
      <c r="H8" s="2" t="n"/>
      <c r="I8" s="2" t="n"/>
    </row>
    <row r="9">
      <c r="A9" s="2" t="inlineStr">
        <is>
          <t>연간 급여 상승률</t>
        </is>
      </c>
      <c r="B9" s="14" t="n">
        <v>0.03</v>
      </c>
      <c r="C9" s="6" t="inlineStr">
        <is>
          <t>연도별 시뮬레이션에 반영</t>
        </is>
      </c>
      <c r="D9" s="2" t="n"/>
      <c r="E9" s="6" t="inlineStr">
        <is>
          <t>현재 채워진 숫자는 형식을 보여주는 예시값입니다.</t>
        </is>
      </c>
      <c r="F9" s="2" t="n"/>
      <c r="G9" s="2" t="n"/>
      <c r="H9" s="2" t="n"/>
      <c r="I9" s="2" t="n"/>
    </row>
    <row r="10">
      <c r="A10" s="2" t="inlineStr">
        <is>
          <t>성과급 반영률 (시나리오)</t>
        </is>
      </c>
      <c r="B10" s="14" t="n">
        <v>1</v>
      </c>
      <c r="C10" s="6" t="inlineStr">
        <is>
          <t>보수적 점검은 50% 또는 0%</t>
        </is>
      </c>
      <c r="D10" s="2" t="n"/>
      <c r="E10" s="2" t="n"/>
      <c r="F10" s="2" t="n"/>
      <c r="G10" s="2" t="n"/>
      <c r="H10" s="2" t="n"/>
      <c r="I10" s="2" t="n"/>
    </row>
    <row r="11">
      <c r="A11" s="2" t="inlineStr">
        <is>
          <t>식대가 B6에 포함되어 있는가?</t>
        </is>
      </c>
      <c r="B11" s="5" t="inlineStr">
        <is>
          <t>포함</t>
        </is>
      </c>
      <c r="C11" s="6" t="inlineStr">
        <is>
          <t>드롭다운: 포함 / 미포함</t>
        </is>
      </c>
      <c r="D11" s="2" t="n"/>
      <c r="E11" s="2" t="n"/>
      <c r="F11" s="2" t="n"/>
      <c r="G11" s="2" t="n"/>
      <c r="H11" s="2" t="n"/>
      <c r="I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</row>
    <row r="13">
      <c r="A13" s="10" t="inlineStr">
        <is>
          <t>■ 2. 세·4대보험 요율  [입력 · 매년 고시값 확인]</t>
        </is>
      </c>
      <c r="B13" s="10" t="n"/>
      <c r="C13" s="10" t="n"/>
      <c r="D13" s="2" t="n"/>
      <c r="E13" s="2" t="n"/>
      <c r="F13" s="2" t="n"/>
      <c r="G13" s="2" t="n"/>
      <c r="H13" s="2" t="n"/>
      <c r="I13" s="2" t="n"/>
    </row>
    <row r="14">
      <c r="A14" s="2" t="inlineStr">
        <is>
          <t>국민연금 요율 (근로자)</t>
        </is>
      </c>
      <c r="B14" s="15" t="n">
        <v>0.045</v>
      </c>
      <c r="C14" s="2" t="n"/>
      <c r="D14" s="2" t="n"/>
      <c r="E14" s="2" t="n"/>
      <c r="F14" s="2" t="n"/>
      <c r="G14" s="2" t="n"/>
      <c r="H14" s="2" t="n"/>
      <c r="I14" s="2" t="n"/>
    </row>
    <row r="15">
      <c r="A15" s="2" t="inlineStr">
        <is>
          <t>국민연금 기준소득월액 상한</t>
        </is>
      </c>
      <c r="B15" s="12" t="n">
        <v>6370000</v>
      </c>
      <c r="C15" s="6" t="inlineStr">
        <is>
          <t>매년 7월 변동 — 반드시 확인</t>
        </is>
      </c>
      <c r="D15" s="2" t="n"/>
      <c r="E15" s="2" t="n"/>
      <c r="F15" s="2" t="n"/>
      <c r="G15" s="2" t="n"/>
      <c r="H15" s="2" t="n"/>
      <c r="I15" s="2" t="n"/>
    </row>
    <row r="16">
      <c r="A16" s="2" t="inlineStr">
        <is>
          <t>건강보험 요율 (근로자)</t>
        </is>
      </c>
      <c r="B16" s="15" t="n">
        <v>0.03545</v>
      </c>
      <c r="C16" s="2" t="n"/>
      <c r="D16" s="2" t="n"/>
      <c r="E16" s="2" t="n"/>
      <c r="F16" s="2" t="n"/>
      <c r="G16" s="2" t="n"/>
      <c r="H16" s="2" t="n"/>
      <c r="I16" s="2" t="n"/>
    </row>
    <row r="17">
      <c r="A17" s="2" t="inlineStr">
        <is>
          <t>장기요양보험 요율 (건보료 대비)</t>
        </is>
      </c>
      <c r="B17" s="15" t="n">
        <v>0.1295</v>
      </c>
      <c r="C17" s="6" t="inlineStr">
        <is>
          <t>건강보험료 × 이 요율</t>
        </is>
      </c>
      <c r="D17" s="2" t="n"/>
      <c r="E17" s="2" t="n"/>
      <c r="F17" s="2" t="n"/>
      <c r="G17" s="2" t="n"/>
      <c r="H17" s="2" t="n"/>
      <c r="I17" s="2" t="n"/>
    </row>
    <row r="18">
      <c r="A18" s="2" t="inlineStr">
        <is>
          <t>고용보험 요율 (근로자)</t>
        </is>
      </c>
      <c r="B18" s="15" t="n">
        <v>0.008999999999999999</v>
      </c>
      <c r="C18" s="2" t="n"/>
      <c r="D18" s="2" t="n"/>
      <c r="E18" s="2" t="n"/>
      <c r="F18" s="2" t="n"/>
      <c r="G18" s="2" t="n"/>
      <c r="H18" s="2" t="n"/>
      <c r="I18" s="2" t="n"/>
    </row>
    <row r="19">
      <c r="A19" s="2" t="inlineStr">
        <is>
          <t>기본급 근로소득세 실효세율 (지방세 포함)</t>
        </is>
      </c>
      <c r="B19" s="14" t="n">
        <v>0.06</v>
      </c>
      <c r="C19" s="6" t="inlineStr">
        <is>
          <t>원천징수영수증 결정세액 ÷ 총급여로 역산 권장</t>
        </is>
      </c>
      <c r="D19" s="2" t="n"/>
      <c r="E19" s="2" t="n"/>
      <c r="F19" s="2" t="n"/>
      <c r="G19" s="2" t="n"/>
      <c r="H19" s="2" t="n"/>
      <c r="I19" s="2" t="n"/>
    </row>
    <row r="20">
      <c r="A20" s="2" t="inlineStr">
        <is>
          <t>상여금 적용 세율 (지방세 포함)</t>
        </is>
      </c>
      <c r="B20" s="14" t="n">
        <v>0.385</v>
      </c>
      <c r="C20" s="6" t="inlineStr">
        <is>
          <t>과표 35% 구간 + 지방소득세 3.5%</t>
        </is>
      </c>
      <c r="D20" s="2" t="n"/>
      <c r="E20" s="2" t="n"/>
      <c r="F20" s="2" t="n"/>
      <c r="G20" s="2" t="n"/>
      <c r="H20" s="2" t="n"/>
      <c r="I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</row>
    <row r="22">
      <c r="A22" s="10" t="inlineStr">
        <is>
          <t>■ 3. 금융 부채 상환 정보  [입력]</t>
        </is>
      </c>
      <c r="B22" s="10" t="n"/>
      <c r="C22" s="10" t="n"/>
      <c r="D22" s="2" t="n"/>
      <c r="E22" s="2" t="n"/>
      <c r="F22" s="2" t="n"/>
      <c r="G22" s="2" t="n"/>
      <c r="H22" s="2" t="n"/>
      <c r="I22" s="2" t="n"/>
    </row>
    <row r="23">
      <c r="A23" s="2" t="inlineStr">
        <is>
          <t>주택담보대출 월 상환액</t>
        </is>
      </c>
      <c r="B23" s="12" t="n">
        <v>1200000</v>
      </c>
      <c r="C23" s="6" t="inlineStr">
        <is>
          <t>원리금균등 기준</t>
        </is>
      </c>
      <c r="D23" s="2" t="n"/>
      <c r="E23" s="2" t="n"/>
      <c r="F23" s="2" t="n"/>
      <c r="G23" s="2" t="n"/>
      <c r="H23" s="2" t="n"/>
      <c r="I23" s="2" t="n"/>
    </row>
    <row r="24">
      <c r="A24" s="2" t="inlineStr">
        <is>
          <t xml:space="preserve">  └ 잔여 상환 개월수</t>
        </is>
      </c>
      <c r="B24" s="16" t="n">
        <v>300</v>
      </c>
      <c r="C24" s="6" t="inlineStr">
        <is>
          <t>만기까지 남은 개월</t>
        </is>
      </c>
      <c r="D24" s="2" t="n"/>
      <c r="E24" s="2" t="n"/>
      <c r="F24" s="2" t="n"/>
      <c r="G24" s="2" t="n"/>
      <c r="H24" s="2" t="n"/>
      <c r="I24" s="2" t="n"/>
    </row>
    <row r="25">
      <c r="A25" s="2" t="inlineStr">
        <is>
          <t>기타 대출 A 월 상환액 (회사 대출)</t>
        </is>
      </c>
      <c r="B25" s="12" t="n">
        <v>500000</v>
      </c>
      <c r="C25" s="6" t="inlineStr">
        <is>
          <t>원금+이자</t>
        </is>
      </c>
      <c r="D25" s="2" t="n"/>
      <c r="E25" s="2" t="n"/>
      <c r="F25" s="2" t="n"/>
      <c r="G25" s="2" t="n"/>
      <c r="H25" s="2" t="n"/>
      <c r="I25" s="2" t="n"/>
    </row>
    <row r="26">
      <c r="A26" s="2" t="inlineStr">
        <is>
          <t xml:space="preserve">  └ 잔여 상환 개월수</t>
        </is>
      </c>
      <c r="B26" s="16" t="n">
        <v>60</v>
      </c>
      <c r="C26" s="2" t="n"/>
      <c r="D26" s="2" t="n"/>
      <c r="E26" s="2" t="n"/>
      <c r="F26" s="2" t="n"/>
      <c r="G26" s="2" t="n"/>
      <c r="H26" s="2" t="n"/>
      <c r="I26" s="2" t="n"/>
    </row>
    <row r="27">
      <c r="A27" s="2" t="inlineStr">
        <is>
          <t>기타 대출 B 월 상환액 (신협/신용)</t>
        </is>
      </c>
      <c r="B27" s="12" t="n">
        <v>300000</v>
      </c>
      <c r="C27" s="6" t="inlineStr">
        <is>
          <t>원금+이자</t>
        </is>
      </c>
      <c r="D27" s="2" t="n"/>
      <c r="E27" s="2" t="n"/>
      <c r="F27" s="2" t="n"/>
      <c r="G27" s="2" t="n"/>
      <c r="H27" s="2" t="n"/>
      <c r="I27" s="2" t="n"/>
    </row>
    <row r="28">
      <c r="A28" s="2" t="inlineStr">
        <is>
          <t xml:space="preserve">  └ 잔여 상환 개월수</t>
        </is>
      </c>
      <c r="B28" s="16" t="n">
        <v>36</v>
      </c>
      <c r="C28" s="2" t="n"/>
      <c r="D28" s="2" t="n"/>
      <c r="E28" s="2" t="n"/>
      <c r="F28" s="2" t="n"/>
      <c r="G28" s="2" t="n"/>
      <c r="H28" s="2" t="n"/>
      <c r="I28" s="2" t="n"/>
    </row>
    <row r="29">
      <c r="A29" s="2" t="inlineStr">
        <is>
          <t>월 부채상환 합계 (현재)</t>
        </is>
      </c>
      <c r="B29" s="17">
        <f>B23+B25+B27</f>
        <v/>
      </c>
      <c r="C29" s="2" t="n"/>
      <c r="D29" s="2" t="n"/>
      <c r="E29" s="2" t="n"/>
      <c r="F29" s="2" t="n"/>
      <c r="G29" s="2" t="n"/>
      <c r="H29" s="2" t="n"/>
      <c r="I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</row>
    <row r="31">
      <c r="A31" s="10" t="inlineStr">
        <is>
          <t>■ 4. 차입자 필수 생활비  [입력]</t>
        </is>
      </c>
      <c r="B31" s="10" t="n"/>
      <c r="C31" s="10" t="n"/>
      <c r="D31" s="2" t="n"/>
      <c r="E31" s="2" t="n"/>
      <c r="F31" s="2" t="n"/>
      <c r="G31" s="2" t="n"/>
      <c r="H31" s="2" t="n"/>
      <c r="I31" s="2" t="n"/>
    </row>
    <row r="32">
      <c r="A32" s="2" t="inlineStr">
        <is>
          <t>월 고정비 (통신·보험·교통 등)</t>
        </is>
      </c>
      <c r="B32" s="12" t="n">
        <v>600000</v>
      </c>
      <c r="C32" s="6" t="inlineStr">
        <is>
          <t>차입자 명의 카드/계좌 기준</t>
        </is>
      </c>
      <c r="D32" s="2" t="n"/>
      <c r="E32" s="2" t="n"/>
      <c r="F32" s="2" t="n"/>
      <c r="G32" s="2" t="n"/>
      <c r="H32" s="2" t="n"/>
      <c r="I32" s="2" t="n"/>
    </row>
    <row r="33">
      <c r="A33" s="2" t="inlineStr">
        <is>
          <t>월 변동비 (식대·카페·개인 소비)</t>
        </is>
      </c>
      <c r="B33" s="12" t="n">
        <v>900000</v>
      </c>
      <c r="C33" s="6" t="inlineStr">
        <is>
          <t>최근 3개월 카드 명세 평균 권장</t>
        </is>
      </c>
      <c r="D33" s="2" t="n"/>
      <c r="E33" s="2" t="n"/>
      <c r="F33" s="2" t="n"/>
      <c r="G33" s="2" t="n"/>
      <c r="H33" s="2" t="n"/>
      <c r="I33" s="2" t="n"/>
    </row>
    <row r="34">
      <c r="A34" s="2" t="inlineStr">
        <is>
          <t>월 최소 개인 소비액</t>
        </is>
      </c>
      <c r="B34" s="17">
        <f>B32+B33</f>
        <v/>
      </c>
      <c r="C34" s="2" t="n"/>
      <c r="D34" s="2" t="n"/>
      <c r="E34" s="2" t="n"/>
      <c r="F34" s="2" t="n"/>
      <c r="G34" s="2" t="n"/>
      <c r="H34" s="2" t="n"/>
      <c r="I34" s="2" t="n"/>
    </row>
    <row r="35">
      <c r="A35" s="2" t="inlineStr">
        <is>
          <t>연간 소비 증가율</t>
        </is>
      </c>
      <c r="B35" s="14" t="n">
        <v>0.02</v>
      </c>
      <c r="C35" s="6" t="inlineStr">
        <is>
          <t>물가 반영</t>
        </is>
      </c>
      <c r="D35" s="2" t="n"/>
      <c r="E35" s="2" t="n"/>
      <c r="F35" s="2" t="n"/>
      <c r="G35" s="2" t="n"/>
      <c r="H35" s="2" t="n"/>
      <c r="I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</row>
    <row r="37">
      <c r="A37" s="10" t="inlineStr">
        <is>
          <t>■ 5. 개인 간 차용 조건  [입력]</t>
        </is>
      </c>
      <c r="B37" s="10" t="n"/>
      <c r="C37" s="10" t="n"/>
      <c r="D37" s="2" t="n"/>
      <c r="E37" s="2" t="n"/>
      <c r="F37" s="2" t="n"/>
      <c r="G37" s="2" t="n"/>
      <c r="H37" s="2" t="n"/>
      <c r="I37" s="2" t="n"/>
    </row>
    <row r="38">
      <c r="A38" s="2" t="inlineStr">
        <is>
          <t>차용 원금</t>
        </is>
      </c>
      <c r="B38" s="12" t="n">
        <v>200000000</v>
      </c>
      <c r="C38" s="2" t="n"/>
      <c r="D38" s="2" t="n"/>
      <c r="E38" s="2" t="n"/>
      <c r="F38" s="2" t="n"/>
      <c r="G38" s="2" t="n"/>
      <c r="H38" s="2" t="n"/>
      <c r="I38" s="2" t="n"/>
    </row>
    <row r="39">
      <c r="A39" s="2" t="inlineStr">
        <is>
          <t>차용 개시일</t>
        </is>
      </c>
      <c r="B39" s="18" t="inlineStr">
        <is>
          <t>2026-01-01</t>
        </is>
      </c>
      <c r="C39" s="6" t="inlineStr">
        <is>
          <t>실제 계좌이체일</t>
        </is>
      </c>
      <c r="D39" s="2" t="n"/>
      <c r="E39" s="2" t="n"/>
      <c r="F39" s="2" t="n"/>
      <c r="G39" s="2" t="n"/>
      <c r="H39" s="2" t="n"/>
      <c r="I39" s="2" t="n"/>
    </row>
    <row r="40">
      <c r="A40" s="2" t="inlineStr">
        <is>
          <t>차용 기간 (년)</t>
        </is>
      </c>
      <c r="B40" s="19" t="n">
        <v>5</v>
      </c>
      <c r="C40" s="6" t="inlineStr">
        <is>
          <t>1~10년 (10년 초과 시 표 행 추가 필요)</t>
        </is>
      </c>
      <c r="D40" s="2" t="n"/>
      <c r="E40" s="2" t="n"/>
      <c r="F40" s="2" t="n"/>
      <c r="G40" s="2" t="n"/>
      <c r="H40" s="2" t="n"/>
      <c r="I40" s="2" t="n"/>
    </row>
    <row r="41">
      <c r="A41" s="2" t="inlineStr">
        <is>
          <t>약정 이자율 (연)</t>
        </is>
      </c>
      <c r="B41" s="14" t="n">
        <v>0</v>
      </c>
      <c r="C41" s="6" t="inlineStr">
        <is>
          <t>무이자면 0%</t>
        </is>
      </c>
      <c r="D41" s="2" t="n"/>
      <c r="E41" s="2" t="n"/>
      <c r="F41" s="2" t="n"/>
      <c r="G41" s="2" t="n"/>
      <c r="H41" s="2" t="n"/>
      <c r="I41" s="2" t="n"/>
    </row>
    <row r="42">
      <c r="A42" s="2" t="inlineStr">
        <is>
          <t>상환 방식</t>
        </is>
      </c>
      <c r="B42" s="5" t="inlineStr">
        <is>
          <t>만기 일시 상환</t>
        </is>
      </c>
      <c r="C42" s="6" t="inlineStr">
        <is>
          <t>드롭다운: 만기 일시 상환 / 원금 분할 상환</t>
        </is>
      </c>
      <c r="D42" s="2" t="n"/>
      <c r="E42" s="2" t="n"/>
      <c r="F42" s="2" t="n"/>
      <c r="G42" s="2" t="n"/>
      <c r="H42" s="2" t="n"/>
      <c r="I42" s="2" t="n"/>
    </row>
    <row r="43">
      <c r="A43" s="2" t="inlineStr">
        <is>
          <t>연간 원금 분할상환액</t>
        </is>
      </c>
      <c r="B43" s="12" t="n">
        <v>0</v>
      </c>
      <c r="C43" s="6" t="inlineStr">
        <is>
          <t>만기 일시면 0</t>
        </is>
      </c>
      <c r="D43" s="2" t="n"/>
      <c r="E43" s="2" t="n"/>
      <c r="F43" s="2" t="n"/>
      <c r="G43" s="2" t="n"/>
      <c r="H43" s="2" t="n"/>
      <c r="I43" s="2" t="n"/>
    </row>
    <row r="44">
      <c r="A44" s="2" t="inlineStr">
        <is>
          <t>만기일</t>
        </is>
      </c>
      <c r="B44" s="3">
        <f>IF(ISNUMBER(B39),EDATE(B39,B40*12),"")</f>
        <v/>
      </c>
      <c r="C44" s="2" t="n"/>
      <c r="D44" s="2" t="n"/>
      <c r="E44" s="2" t="n"/>
      <c r="F44" s="2" t="n"/>
      <c r="G44" s="2" t="n"/>
      <c r="H44" s="2" t="n"/>
      <c r="I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</row>
    <row r="46">
      <c r="A46" s="10" t="inlineStr">
        <is>
          <t>■ 6. 세법 기준값  [입력 · 상증세법]</t>
        </is>
      </c>
      <c r="B46" s="10" t="n"/>
      <c r="C46" s="10" t="n"/>
      <c r="D46" s="2" t="n"/>
      <c r="E46" s="2" t="n"/>
      <c r="F46" s="2" t="n"/>
      <c r="G46" s="2" t="n"/>
      <c r="H46" s="2" t="n"/>
      <c r="I46" s="2" t="n"/>
    </row>
    <row r="47">
      <c r="A47" s="2" t="inlineStr">
        <is>
          <t>법정 적정 이자율</t>
        </is>
      </c>
      <c r="B47" s="14" t="n">
        <v>0.046</v>
      </c>
      <c r="C47" s="6" t="inlineStr">
        <is>
          <t>상증세법 시행령 §31조의4</t>
        </is>
      </c>
      <c r="D47" s="2" t="n"/>
      <c r="E47" s="2" t="n"/>
      <c r="F47" s="2" t="n"/>
      <c r="G47" s="2" t="n"/>
      <c r="H47" s="2" t="n"/>
      <c r="I47" s="2" t="n"/>
    </row>
    <row r="48">
      <c r="A48" s="2" t="inlineStr">
        <is>
          <t>증여이익 과세 기준금액 (연)</t>
        </is>
      </c>
      <c r="B48" s="12" t="n">
        <v>10000000</v>
      </c>
      <c r="C48" s="6" t="inlineStr">
        <is>
          <t>이 금액 이상이면 차액 전액 과세</t>
        </is>
      </c>
      <c r="D48" s="2" t="n"/>
      <c r="E48" s="2" t="n"/>
      <c r="F48" s="2" t="n"/>
      <c r="G48" s="2" t="n"/>
      <c r="H48" s="2" t="n"/>
      <c r="I48" s="2" t="n"/>
    </row>
    <row r="49">
      <c r="A49" s="2" t="inlineStr">
        <is>
          <t>이자소득 원천징수율 (비영업대금의 이익)</t>
        </is>
      </c>
      <c r="B49" s="14" t="n">
        <v>0.275</v>
      </c>
      <c r="C49" s="6" t="inlineStr">
        <is>
          <t>소득세 25% + 지방소득세 2.5%</t>
        </is>
      </c>
      <c r="D49" s="2" t="n"/>
      <c r="E49" s="2" t="n"/>
      <c r="F49" s="2" t="n"/>
      <c r="G49" s="2" t="n"/>
      <c r="H49" s="2" t="n"/>
      <c r="I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</row>
    <row r="51">
      <c r="A51" s="10" t="inlineStr">
        <is>
          <t>■ 7. 중간 계산  [자동]</t>
        </is>
      </c>
      <c r="B51" s="10" t="n"/>
      <c r="C51" s="10" t="n"/>
      <c r="D51" s="2" t="n"/>
      <c r="E51" s="2" t="n"/>
      <c r="F51" s="2" t="n"/>
      <c r="G51" s="2" t="n"/>
      <c r="H51" s="2" t="n"/>
      <c r="I51" s="2" t="n"/>
    </row>
    <row r="52">
      <c r="A52" s="2" t="inlineStr">
        <is>
          <t>과세대상 월 급여</t>
        </is>
      </c>
      <c r="B52" s="17">
        <f>IF($B$11="포함",($B$6-$B$8*12)/12,$B$6/12)</f>
        <v/>
      </c>
      <c r="C52" s="6" t="inlineStr">
        <is>
          <t>식대 비과세분 제외</t>
        </is>
      </c>
      <c r="D52" s="2" t="n"/>
      <c r="E52" s="2" t="n"/>
      <c r="F52" s="2" t="n"/>
      <c r="G52" s="2" t="n"/>
      <c r="H52" s="2" t="n"/>
      <c r="I52" s="2" t="n"/>
    </row>
    <row r="53">
      <c r="A53" s="2" t="inlineStr">
        <is>
          <t>월 국민연금</t>
        </is>
      </c>
      <c r="B53" s="17">
        <f>ROUND(MIN($B$52,$B$15)*$B$14,0)</f>
        <v/>
      </c>
      <c r="C53" s="6" t="inlineStr">
        <is>
          <t>기준소득월액 상한 적용</t>
        </is>
      </c>
      <c r="D53" s="2" t="n"/>
      <c r="E53" s="2" t="n"/>
      <c r="F53" s="2" t="n"/>
      <c r="G53" s="2" t="n"/>
      <c r="H53" s="2" t="n"/>
      <c r="I53" s="2" t="n"/>
    </row>
    <row r="54">
      <c r="A54" s="2" t="inlineStr">
        <is>
          <t>월 건강보험</t>
        </is>
      </c>
      <c r="B54" s="17">
        <f>ROUND($B$52*$B$16,0)</f>
        <v/>
      </c>
      <c r="C54" s="2" t="n"/>
      <c r="D54" s="2" t="n"/>
      <c r="E54" s="2" t="n"/>
      <c r="F54" s="2" t="n"/>
      <c r="G54" s="2" t="n"/>
      <c r="H54" s="2" t="n"/>
      <c r="I54" s="2" t="n"/>
    </row>
    <row r="55">
      <c r="A55" s="2" t="inlineStr">
        <is>
          <t>월 장기요양보험</t>
        </is>
      </c>
      <c r="B55" s="17">
        <f>ROUND($B$54*$B$17,0)</f>
        <v/>
      </c>
      <c r="C55" s="2" t="n"/>
      <c r="D55" s="2" t="n"/>
      <c r="E55" s="2" t="n"/>
      <c r="F55" s="2" t="n"/>
      <c r="G55" s="2" t="n"/>
      <c r="H55" s="2" t="n"/>
      <c r="I55" s="2" t="n"/>
    </row>
    <row r="56">
      <c r="A56" s="2" t="inlineStr">
        <is>
          <t>월 고용보험</t>
        </is>
      </c>
      <c r="B56" s="17">
        <f>ROUND($B$52*$B$18,0)</f>
        <v/>
      </c>
      <c r="C56" s="2" t="n"/>
      <c r="D56" s="2" t="n"/>
      <c r="E56" s="2" t="n"/>
      <c r="F56" s="2" t="n"/>
      <c r="G56" s="2" t="n"/>
      <c r="H56" s="2" t="n"/>
      <c r="I56" s="2" t="n"/>
    </row>
    <row r="57">
      <c r="A57" s="2" t="inlineStr">
        <is>
          <t>월 4대보험 합계</t>
        </is>
      </c>
      <c r="B57" s="17">
        <f>SUM($B$53:$B$56)</f>
        <v/>
      </c>
      <c r="C57" s="2" t="n"/>
      <c r="D57" s="2" t="n"/>
      <c r="E57" s="2" t="n"/>
      <c r="F57" s="2" t="n"/>
      <c r="G57" s="2" t="n"/>
      <c r="H57" s="2" t="n"/>
      <c r="I57" s="2" t="n"/>
    </row>
    <row r="58">
      <c r="A58" s="2" t="inlineStr">
        <is>
          <t>월 근로소득세 + 지방소득세</t>
        </is>
      </c>
      <c r="B58" s="17">
        <f>ROUND($B$52*$B$19,0)</f>
        <v/>
      </c>
      <c r="C58" s="2" t="n"/>
      <c r="D58" s="2" t="n"/>
      <c r="E58" s="2" t="n"/>
      <c r="F58" s="2" t="n"/>
      <c r="G58" s="2" t="n"/>
      <c r="H58" s="2" t="n"/>
      <c r="I58" s="2" t="n"/>
    </row>
    <row r="59">
      <c r="A59" s="2" t="inlineStr">
        <is>
          <t>월 세후 실수령액 (식대 포함)</t>
        </is>
      </c>
      <c r="B59" s="17">
        <f>$B$52-$B$57-$B$58+$B$8</f>
        <v/>
      </c>
      <c r="C59" s="2" t="n"/>
      <c r="D59" s="2" t="n"/>
      <c r="E59" s="2" t="n"/>
      <c r="F59" s="2" t="n"/>
      <c r="G59" s="2" t="n"/>
      <c r="H59" s="2" t="n"/>
      <c r="I59" s="2" t="n"/>
    </row>
    <row r="60">
      <c r="A60" s="2" t="inlineStr">
        <is>
          <t>연간 기본급 세후 실수령액</t>
        </is>
      </c>
      <c r="B60" s="17">
        <f>$B$59*12</f>
        <v/>
      </c>
      <c r="C60" s="2" t="n"/>
      <c r="D60" s="2" t="n"/>
      <c r="E60" s="2" t="n"/>
      <c r="F60" s="2" t="n"/>
      <c r="G60" s="2" t="n"/>
      <c r="H60" s="2" t="n"/>
      <c r="I60" s="2" t="n"/>
    </row>
    <row r="61">
      <c r="A61" s="2" t="inlineStr">
        <is>
          <t>성과급 세후 실수령액 (연)</t>
        </is>
      </c>
      <c r="B61" s="17">
        <f>ROUND($B$7*$B$10*(1-$B$20),0)</f>
        <v/>
      </c>
      <c r="C61" s="6" t="inlineStr">
        <is>
          <t>시나리오 반영률 적용</t>
        </is>
      </c>
      <c r="D61" s="2" t="n"/>
      <c r="E61" s="2" t="n"/>
      <c r="F61" s="2" t="n"/>
      <c r="G61" s="2" t="n"/>
      <c r="H61" s="2" t="n"/>
      <c r="I61" s="2" t="n"/>
    </row>
    <row r="62">
      <c r="A62" s="2" t="inlineStr">
        <is>
          <t>연간 세후 총소득</t>
        </is>
      </c>
      <c r="B62" s="17">
        <f>$B$60+$B$61</f>
        <v/>
      </c>
      <c r="C62" s="2" t="n"/>
      <c r="D62" s="2" t="n"/>
      <c r="E62" s="2" t="n"/>
      <c r="F62" s="2" t="n"/>
      <c r="G62" s="2" t="n"/>
      <c r="H62" s="2" t="n"/>
      <c r="I62" s="2" t="n"/>
    </row>
    <row r="63">
      <c r="A63" s="2" t="inlineStr">
        <is>
          <t>연간 기존 부채 상환액</t>
        </is>
      </c>
      <c r="B63" s="17">
        <f>$B$29*12</f>
        <v/>
      </c>
      <c r="C63" s="2" t="n"/>
      <c r="D63" s="2" t="n"/>
      <c r="E63" s="2" t="n"/>
      <c r="F63" s="2" t="n"/>
      <c r="G63" s="2" t="n"/>
      <c r="H63" s="2" t="n"/>
      <c r="I63" s="2" t="n"/>
    </row>
    <row r="64">
      <c r="A64" s="2" t="inlineStr">
        <is>
          <t>연간 차용 이자 (총액, 세전)</t>
        </is>
      </c>
      <c r="B64" s="17">
        <f>ROUND($B$38*$B$41,0)</f>
        <v/>
      </c>
      <c r="C64" s="2" t="n"/>
      <c r="D64" s="2" t="n"/>
      <c r="E64" s="2" t="n"/>
      <c r="F64" s="2" t="n"/>
      <c r="G64" s="2" t="n"/>
      <c r="H64" s="2" t="n"/>
      <c r="I64" s="2" t="n"/>
    </row>
    <row r="65">
      <c r="A65" s="2" t="inlineStr">
        <is>
          <t xml:space="preserve">  └ 원천징수세액 (차입자가 세무서 납부)</t>
        </is>
      </c>
      <c r="B65" s="17">
        <f>ROUND($B$64*$B$49,0)</f>
        <v/>
      </c>
      <c r="C65" s="6" t="inlineStr">
        <is>
          <t>지급월 익월 10일까지</t>
        </is>
      </c>
      <c r="D65" s="2" t="n"/>
      <c r="E65" s="2" t="n"/>
      <c r="F65" s="2" t="n"/>
      <c r="G65" s="2" t="n"/>
      <c r="H65" s="2" t="n"/>
      <c r="I65" s="2" t="n"/>
    </row>
    <row r="66">
      <c r="A66" s="2" t="inlineStr">
        <is>
          <t xml:space="preserve">  └ 대여자 실수령 이자</t>
        </is>
      </c>
      <c r="B66" s="17">
        <f>$B$64-$B$65</f>
        <v/>
      </c>
      <c r="C66" s="2" t="n"/>
      <c r="D66" s="2" t="n"/>
      <c r="E66" s="2" t="n"/>
      <c r="F66" s="2" t="n"/>
      <c r="G66" s="2" t="n"/>
      <c r="H66" s="2" t="n"/>
      <c r="I66" s="2" t="n"/>
    </row>
    <row r="67">
      <c r="A67" s="2" t="inlineStr">
        <is>
          <t>연간 필수 소비 지출</t>
        </is>
      </c>
      <c r="B67" s="17">
        <f>$B$34*12</f>
        <v/>
      </c>
      <c r="C67" s="2" t="n"/>
      <c r="D67" s="2" t="n"/>
      <c r="E67" s="2" t="n"/>
      <c r="F67" s="2" t="n"/>
      <c r="G67" s="2" t="n"/>
      <c r="H67" s="2" t="n"/>
      <c r="I67" s="2" t="n"/>
    </row>
    <row r="68">
      <c r="A68" s="2" t="inlineStr">
        <is>
          <t>연간 순 가처분 잉여현금</t>
        </is>
      </c>
      <c r="B68" s="17">
        <f>$B$62-($B$63+$B$64+$B$67)</f>
        <v/>
      </c>
      <c r="C68" s="6" t="inlineStr">
        <is>
          <t>1년차 기준</t>
        </is>
      </c>
      <c r="D68" s="2" t="n"/>
      <c r="E68" s="2" t="n"/>
      <c r="F68" s="2" t="n"/>
      <c r="G68" s="2" t="n"/>
      <c r="H68" s="2" t="n"/>
      <c r="I68" s="2" t="n"/>
    </row>
    <row r="69">
      <c r="A69" s="2" t="inlineStr">
        <is>
          <t>월 기본급 기준 수지 (성과급 제외)</t>
        </is>
      </c>
      <c r="B69" s="17">
        <f>$B$59-$B$29-$B$34-$B$64/12</f>
        <v/>
      </c>
      <c r="C69" s="6" t="inlineStr">
        <is>
          <t>음수면 구조적 적자</t>
        </is>
      </c>
      <c r="D69" s="2" t="n"/>
      <c r="E69" s="2" t="n"/>
      <c r="F69" s="2" t="n"/>
      <c r="G69" s="2" t="n"/>
      <c r="H69" s="2" t="n"/>
      <c r="I69" s="2" t="n"/>
    </row>
    <row r="70">
      <c r="A70" s="2" t="inlineStr">
        <is>
          <t>차용기간 누적 저축 가능액 (단순 추정)</t>
        </is>
      </c>
      <c r="B70" s="17">
        <f>$B$68*$B$40</f>
        <v/>
      </c>
      <c r="C70" s="6" t="inlineStr">
        <is>
          <t>성장률 미반영 — 참고용</t>
        </is>
      </c>
      <c r="D70" s="2" t="n"/>
      <c r="E70" s="2" t="n"/>
      <c r="F70" s="2" t="n"/>
      <c r="G70" s="2" t="n"/>
      <c r="H70" s="2" t="n"/>
      <c r="I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</row>
    <row r="72">
      <c r="A72" s="10" t="inlineStr">
        <is>
          <t>■ 8. 연도별 현금흐름 시뮬레이션  [자동]</t>
        </is>
      </c>
      <c r="B72" s="10" t="n"/>
      <c r="C72" s="10" t="n"/>
      <c r="D72" s="10" t="n"/>
      <c r="E72" s="10" t="n"/>
      <c r="F72" s="10" t="n"/>
      <c r="G72" s="10" t="n"/>
      <c r="H72" s="10" t="n"/>
      <c r="I72" s="10" t="n"/>
    </row>
    <row r="73">
      <c r="A73" s="20" t="inlineStr">
        <is>
          <t>연차</t>
        </is>
      </c>
      <c r="B73" s="20" t="inlineStr">
        <is>
          <t>세후 총소득</t>
        </is>
      </c>
      <c r="C73" s="20" t="inlineStr">
        <is>
          <t>기존 부채상환</t>
        </is>
      </c>
      <c r="D73" s="20" t="inlineStr">
        <is>
          <t>필수 생활비</t>
        </is>
      </c>
      <c r="E73" s="20" t="inlineStr">
        <is>
          <t>차용 이자</t>
        </is>
      </c>
      <c r="F73" s="20" t="inlineStr">
        <is>
          <t>원금 분할상환</t>
        </is>
      </c>
      <c r="G73" s="20" t="inlineStr">
        <is>
          <t>연간 잉여</t>
        </is>
      </c>
      <c r="H73" s="20" t="inlineStr">
        <is>
          <t>누적 잉여</t>
        </is>
      </c>
      <c r="I73" s="20" t="inlineStr">
        <is>
          <t>원금 대비 누적</t>
        </is>
      </c>
    </row>
    <row r="74">
      <c r="A74" s="21" t="n">
        <v>1</v>
      </c>
      <c r="B74" s="22">
        <f>IF($A74&gt;$B$40,"",ROUND($B$62*(1+$B$9)^($A74-1),0))</f>
        <v/>
      </c>
      <c r="C74" s="22">
        <f>IF($A74&gt;$B$40,"",$B$23*MIN(12,MAX(0,$B$24-($A74-1)*12))+$B$25*MIN(12,MAX(0,$B$26-($A74-1)*12))+$B$27*MIN(12,MAX(0,$B$28-($A74-1)*12)))</f>
        <v/>
      </c>
      <c r="D74" s="22">
        <f>IF($A74&gt;$B$40,"",ROUND($B$67*(1+$B$35)^($A74-1),0))</f>
        <v/>
      </c>
      <c r="E74" s="22">
        <f>IF($A74&gt;$B$40,"",ROUND(MAX(0,$B$38-$B$43*($A74-1))*$B$41,0))</f>
        <v/>
      </c>
      <c r="F74" s="22">
        <f>IF($A74&gt;$B$40,"",MIN($B$43,MAX(0,$B$38-$B$43*($A74-1))))</f>
        <v/>
      </c>
      <c r="G74" s="22">
        <f>IF($A74&gt;$B$40,"",B74-C74-D74-E74-F74)</f>
        <v/>
      </c>
      <c r="H74" s="23">
        <f>IF($A74&gt;$B$40,"",G74)</f>
        <v/>
      </c>
      <c r="I74" s="24">
        <f>IF($A74&gt;$B$40,"",IFERROR(H74/$B$38,""))</f>
        <v/>
      </c>
    </row>
    <row r="75">
      <c r="A75" s="21" t="n">
        <v>2</v>
      </c>
      <c r="B75" s="22">
        <f>IF($A75&gt;$B$40,"",ROUND($B$62*(1+$B$9)^($A75-1),0))</f>
        <v/>
      </c>
      <c r="C75" s="22">
        <f>IF($A75&gt;$B$40,"",$B$23*MIN(12,MAX(0,$B$24-($A75-1)*12))+$B$25*MIN(12,MAX(0,$B$26-($A75-1)*12))+$B$27*MIN(12,MAX(0,$B$28-($A75-1)*12)))</f>
        <v/>
      </c>
      <c r="D75" s="22">
        <f>IF($A75&gt;$B$40,"",ROUND($B$67*(1+$B$35)^($A75-1),0))</f>
        <v/>
      </c>
      <c r="E75" s="22">
        <f>IF($A75&gt;$B$40,"",ROUND(MAX(0,$B$38-$B$43*($A75-1))*$B$41,0))</f>
        <v/>
      </c>
      <c r="F75" s="22">
        <f>IF($A75&gt;$B$40,"",MIN($B$43,MAX(0,$B$38-$B$43*($A75-1))))</f>
        <v/>
      </c>
      <c r="G75" s="22">
        <f>IF($A75&gt;$B$40,"",B75-C75-D75-E75-F75)</f>
        <v/>
      </c>
      <c r="H75" s="23">
        <f>IF($A75&gt;$B$40,"",N(H74)+G75)</f>
        <v/>
      </c>
      <c r="I75" s="24">
        <f>IF($A75&gt;$B$40,"",IFERROR(H75/$B$38,""))</f>
        <v/>
      </c>
    </row>
    <row r="76">
      <c r="A76" s="21" t="n">
        <v>3</v>
      </c>
      <c r="B76" s="22">
        <f>IF($A76&gt;$B$40,"",ROUND($B$62*(1+$B$9)^($A76-1),0))</f>
        <v/>
      </c>
      <c r="C76" s="22">
        <f>IF($A76&gt;$B$40,"",$B$23*MIN(12,MAX(0,$B$24-($A76-1)*12))+$B$25*MIN(12,MAX(0,$B$26-($A76-1)*12))+$B$27*MIN(12,MAX(0,$B$28-($A76-1)*12)))</f>
        <v/>
      </c>
      <c r="D76" s="22">
        <f>IF($A76&gt;$B$40,"",ROUND($B$67*(1+$B$35)^($A76-1),0))</f>
        <v/>
      </c>
      <c r="E76" s="22">
        <f>IF($A76&gt;$B$40,"",ROUND(MAX(0,$B$38-$B$43*($A76-1))*$B$41,0))</f>
        <v/>
      </c>
      <c r="F76" s="22">
        <f>IF($A76&gt;$B$40,"",MIN($B$43,MAX(0,$B$38-$B$43*($A76-1))))</f>
        <v/>
      </c>
      <c r="G76" s="22">
        <f>IF($A76&gt;$B$40,"",B76-C76-D76-E76-F76)</f>
        <v/>
      </c>
      <c r="H76" s="23">
        <f>IF($A76&gt;$B$40,"",N(H75)+G76)</f>
        <v/>
      </c>
      <c r="I76" s="24">
        <f>IF($A76&gt;$B$40,"",IFERROR(H76/$B$38,""))</f>
        <v/>
      </c>
    </row>
    <row r="77">
      <c r="A77" s="21" t="n">
        <v>4</v>
      </c>
      <c r="B77" s="22">
        <f>IF($A77&gt;$B$40,"",ROUND($B$62*(1+$B$9)^($A77-1),0))</f>
        <v/>
      </c>
      <c r="C77" s="22">
        <f>IF($A77&gt;$B$40,"",$B$23*MIN(12,MAX(0,$B$24-($A77-1)*12))+$B$25*MIN(12,MAX(0,$B$26-($A77-1)*12))+$B$27*MIN(12,MAX(0,$B$28-($A77-1)*12)))</f>
        <v/>
      </c>
      <c r="D77" s="22">
        <f>IF($A77&gt;$B$40,"",ROUND($B$67*(1+$B$35)^($A77-1),0))</f>
        <v/>
      </c>
      <c r="E77" s="22">
        <f>IF($A77&gt;$B$40,"",ROUND(MAX(0,$B$38-$B$43*($A77-1))*$B$41,0))</f>
        <v/>
      </c>
      <c r="F77" s="22">
        <f>IF($A77&gt;$B$40,"",MIN($B$43,MAX(0,$B$38-$B$43*($A77-1))))</f>
        <v/>
      </c>
      <c r="G77" s="22">
        <f>IF($A77&gt;$B$40,"",B77-C77-D77-E77-F77)</f>
        <v/>
      </c>
      <c r="H77" s="23">
        <f>IF($A77&gt;$B$40,"",N(H76)+G77)</f>
        <v/>
      </c>
      <c r="I77" s="24">
        <f>IF($A77&gt;$B$40,"",IFERROR(H77/$B$38,""))</f>
        <v/>
      </c>
    </row>
    <row r="78">
      <c r="A78" s="21" t="n">
        <v>5</v>
      </c>
      <c r="B78" s="22">
        <f>IF($A78&gt;$B$40,"",ROUND($B$62*(1+$B$9)^($A78-1),0))</f>
        <v/>
      </c>
      <c r="C78" s="22">
        <f>IF($A78&gt;$B$40,"",$B$23*MIN(12,MAX(0,$B$24-($A78-1)*12))+$B$25*MIN(12,MAX(0,$B$26-($A78-1)*12))+$B$27*MIN(12,MAX(0,$B$28-($A78-1)*12)))</f>
        <v/>
      </c>
      <c r="D78" s="22">
        <f>IF($A78&gt;$B$40,"",ROUND($B$67*(1+$B$35)^($A78-1),0))</f>
        <v/>
      </c>
      <c r="E78" s="22">
        <f>IF($A78&gt;$B$40,"",ROUND(MAX(0,$B$38-$B$43*($A78-1))*$B$41,0))</f>
        <v/>
      </c>
      <c r="F78" s="22">
        <f>IF($A78&gt;$B$40,"",MIN($B$43,MAX(0,$B$38-$B$43*($A78-1))))</f>
        <v/>
      </c>
      <c r="G78" s="22">
        <f>IF($A78&gt;$B$40,"",B78-C78-D78-E78-F78)</f>
        <v/>
      </c>
      <c r="H78" s="23">
        <f>IF($A78&gt;$B$40,"",N(H77)+G78)</f>
        <v/>
      </c>
      <c r="I78" s="24">
        <f>IF($A78&gt;$B$40,"",IFERROR(H78/$B$38,""))</f>
        <v/>
      </c>
    </row>
    <row r="79">
      <c r="A79" s="21" t="n">
        <v>6</v>
      </c>
      <c r="B79" s="22">
        <f>IF($A79&gt;$B$40,"",ROUND($B$62*(1+$B$9)^($A79-1),0))</f>
        <v/>
      </c>
      <c r="C79" s="22">
        <f>IF($A79&gt;$B$40,"",$B$23*MIN(12,MAX(0,$B$24-($A79-1)*12))+$B$25*MIN(12,MAX(0,$B$26-($A79-1)*12))+$B$27*MIN(12,MAX(0,$B$28-($A79-1)*12)))</f>
        <v/>
      </c>
      <c r="D79" s="22">
        <f>IF($A79&gt;$B$40,"",ROUND($B$67*(1+$B$35)^($A79-1),0))</f>
        <v/>
      </c>
      <c r="E79" s="22">
        <f>IF($A79&gt;$B$40,"",ROUND(MAX(0,$B$38-$B$43*($A79-1))*$B$41,0))</f>
        <v/>
      </c>
      <c r="F79" s="22">
        <f>IF($A79&gt;$B$40,"",MIN($B$43,MAX(0,$B$38-$B$43*($A79-1))))</f>
        <v/>
      </c>
      <c r="G79" s="22">
        <f>IF($A79&gt;$B$40,"",B79-C79-D79-E79-F79)</f>
        <v/>
      </c>
      <c r="H79" s="23">
        <f>IF($A79&gt;$B$40,"",N(H78)+G79)</f>
        <v/>
      </c>
      <c r="I79" s="24">
        <f>IF($A79&gt;$B$40,"",IFERROR(H79/$B$38,""))</f>
        <v/>
      </c>
    </row>
    <row r="80">
      <c r="A80" s="21" t="n">
        <v>7</v>
      </c>
      <c r="B80" s="22">
        <f>IF($A80&gt;$B$40,"",ROUND($B$62*(1+$B$9)^($A80-1),0))</f>
        <v/>
      </c>
      <c r="C80" s="22">
        <f>IF($A80&gt;$B$40,"",$B$23*MIN(12,MAX(0,$B$24-($A80-1)*12))+$B$25*MIN(12,MAX(0,$B$26-($A80-1)*12))+$B$27*MIN(12,MAX(0,$B$28-($A80-1)*12)))</f>
        <v/>
      </c>
      <c r="D80" s="22">
        <f>IF($A80&gt;$B$40,"",ROUND($B$67*(1+$B$35)^($A80-1),0))</f>
        <v/>
      </c>
      <c r="E80" s="22">
        <f>IF($A80&gt;$B$40,"",ROUND(MAX(0,$B$38-$B$43*($A80-1))*$B$41,0))</f>
        <v/>
      </c>
      <c r="F80" s="22">
        <f>IF($A80&gt;$B$40,"",MIN($B$43,MAX(0,$B$38-$B$43*($A80-1))))</f>
        <v/>
      </c>
      <c r="G80" s="22">
        <f>IF($A80&gt;$B$40,"",B80-C80-D80-E80-F80)</f>
        <v/>
      </c>
      <c r="H80" s="23">
        <f>IF($A80&gt;$B$40,"",N(H79)+G80)</f>
        <v/>
      </c>
      <c r="I80" s="24">
        <f>IF($A80&gt;$B$40,"",IFERROR(H80/$B$38,""))</f>
        <v/>
      </c>
    </row>
    <row r="81">
      <c r="A81" s="21" t="n">
        <v>8</v>
      </c>
      <c r="B81" s="22">
        <f>IF($A81&gt;$B$40,"",ROUND($B$62*(1+$B$9)^($A81-1),0))</f>
        <v/>
      </c>
      <c r="C81" s="22">
        <f>IF($A81&gt;$B$40,"",$B$23*MIN(12,MAX(0,$B$24-($A81-1)*12))+$B$25*MIN(12,MAX(0,$B$26-($A81-1)*12))+$B$27*MIN(12,MAX(0,$B$28-($A81-1)*12)))</f>
        <v/>
      </c>
      <c r="D81" s="22">
        <f>IF($A81&gt;$B$40,"",ROUND($B$67*(1+$B$35)^($A81-1),0))</f>
        <v/>
      </c>
      <c r="E81" s="22">
        <f>IF($A81&gt;$B$40,"",ROUND(MAX(0,$B$38-$B$43*($A81-1))*$B$41,0))</f>
        <v/>
      </c>
      <c r="F81" s="22">
        <f>IF($A81&gt;$B$40,"",MIN($B$43,MAX(0,$B$38-$B$43*($A81-1))))</f>
        <v/>
      </c>
      <c r="G81" s="22">
        <f>IF($A81&gt;$B$40,"",B81-C81-D81-E81-F81)</f>
        <v/>
      </c>
      <c r="H81" s="23">
        <f>IF($A81&gt;$B$40,"",N(H80)+G81)</f>
        <v/>
      </c>
      <c r="I81" s="24">
        <f>IF($A81&gt;$B$40,"",IFERROR(H81/$B$38,""))</f>
        <v/>
      </c>
    </row>
    <row r="82">
      <c r="A82" s="21" t="n">
        <v>9</v>
      </c>
      <c r="B82" s="22">
        <f>IF($A82&gt;$B$40,"",ROUND($B$62*(1+$B$9)^($A82-1),0))</f>
        <v/>
      </c>
      <c r="C82" s="22">
        <f>IF($A82&gt;$B$40,"",$B$23*MIN(12,MAX(0,$B$24-($A82-1)*12))+$B$25*MIN(12,MAX(0,$B$26-($A82-1)*12))+$B$27*MIN(12,MAX(0,$B$28-($A82-1)*12)))</f>
        <v/>
      </c>
      <c r="D82" s="22">
        <f>IF($A82&gt;$B$40,"",ROUND($B$67*(1+$B$35)^($A82-1),0))</f>
        <v/>
      </c>
      <c r="E82" s="22">
        <f>IF($A82&gt;$B$40,"",ROUND(MAX(0,$B$38-$B$43*($A82-1))*$B$41,0))</f>
        <v/>
      </c>
      <c r="F82" s="22">
        <f>IF($A82&gt;$B$40,"",MIN($B$43,MAX(0,$B$38-$B$43*($A82-1))))</f>
        <v/>
      </c>
      <c r="G82" s="22">
        <f>IF($A82&gt;$B$40,"",B82-C82-D82-E82-F82)</f>
        <v/>
      </c>
      <c r="H82" s="23">
        <f>IF($A82&gt;$B$40,"",N(H81)+G82)</f>
        <v/>
      </c>
      <c r="I82" s="24">
        <f>IF($A82&gt;$B$40,"",IFERROR(H82/$B$38,""))</f>
        <v/>
      </c>
    </row>
    <row r="83">
      <c r="A83" s="21" t="n">
        <v>10</v>
      </c>
      <c r="B83" s="22">
        <f>IF($A83&gt;$B$40,"",ROUND($B$62*(1+$B$9)^($A83-1),0))</f>
        <v/>
      </c>
      <c r="C83" s="22">
        <f>IF($A83&gt;$B$40,"",$B$23*MIN(12,MAX(0,$B$24-($A83-1)*12))+$B$25*MIN(12,MAX(0,$B$26-($A83-1)*12))+$B$27*MIN(12,MAX(0,$B$28-($A83-1)*12)))</f>
        <v/>
      </c>
      <c r="D83" s="22">
        <f>IF($A83&gt;$B$40,"",ROUND($B$67*(1+$B$35)^($A83-1),0))</f>
        <v/>
      </c>
      <c r="E83" s="22">
        <f>IF($A83&gt;$B$40,"",ROUND(MAX(0,$B$38-$B$43*($A83-1))*$B$41,0))</f>
        <v/>
      </c>
      <c r="F83" s="22">
        <f>IF($A83&gt;$B$40,"",MIN($B$43,MAX(0,$B$38-$B$43*($A83-1))))</f>
        <v/>
      </c>
      <c r="G83" s="22">
        <f>IF($A83&gt;$B$40,"",B83-C83-D83-E83-F83)</f>
        <v/>
      </c>
      <c r="H83" s="23">
        <f>IF($A83&gt;$B$40,"",N(H82)+G83)</f>
        <v/>
      </c>
      <c r="I83" s="24">
        <f>IF($A83&gt;$B$40,"",IFERROR(H83/$B$38,""))</f>
        <v/>
      </c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</row>
    <row r="85">
      <c r="A85" s="10" t="inlineStr">
        <is>
          <t>■ 9. 상환능력 판정  [핵심 산출물]</t>
        </is>
      </c>
      <c r="B85" s="10" t="n"/>
      <c r="C85" s="10" t="n"/>
      <c r="D85" s="2" t="n"/>
      <c r="E85" s="2" t="n"/>
      <c r="F85" s="2" t="n"/>
      <c r="G85" s="2" t="n"/>
      <c r="H85" s="2" t="n"/>
      <c r="I85" s="2" t="n"/>
    </row>
    <row r="86">
      <c r="A86" s="2" t="inlineStr">
        <is>
          <t>만기 시 일시상환 대상 잔여 원금</t>
        </is>
      </c>
      <c r="B86" s="25">
        <f>MAX(0,$B$38-SUM($F$74:$F$83))</f>
        <v/>
      </c>
      <c r="C86" s="6" t="inlineStr">
        <is>
          <t>분할상환분 차감 후</t>
        </is>
      </c>
      <c r="D86" s="2" t="n"/>
      <c r="E86" s="2" t="n"/>
      <c r="F86" s="2" t="n"/>
      <c r="G86" s="2" t="n"/>
      <c r="H86" s="2" t="n"/>
      <c r="I86" s="2" t="n"/>
    </row>
    <row r="87">
      <c r="A87" s="2" t="inlineStr">
        <is>
          <t>차용기간 누적 저축 가능액</t>
        </is>
      </c>
      <c r="B87" s="25">
        <f>IF($B$40&gt;10,"⚠ 기간 10년 초과 — 시뮬레이션 행 추가 필요",INDEX($H$74:$H$83,$B$40))</f>
        <v/>
      </c>
      <c r="C87" s="6" t="inlineStr">
        <is>
          <t>연도별 표 기준</t>
        </is>
      </c>
      <c r="D87" s="2" t="n"/>
      <c r="E87" s="2" t="n"/>
      <c r="F87" s="2" t="n"/>
      <c r="G87" s="2" t="n"/>
      <c r="H87" s="2" t="n"/>
      <c r="I87" s="2" t="n"/>
    </row>
    <row r="88">
      <c r="A88" s="2" t="inlineStr">
        <is>
          <t>지표1. 만기 상환 버퍼율</t>
        </is>
      </c>
      <c r="B88" s="26">
        <f>IF(NOT(ISNUMBER($B$87)),"-",IF($B$86=0,"원금 전액 분할상환 완료",$B$87/$B$86))</f>
        <v/>
      </c>
      <c r="C88" s="6" t="inlineStr">
        <is>
          <t>100% = 딱 맞음, 120%↑ 권장</t>
        </is>
      </c>
      <c r="D88" s="2" t="n"/>
      <c r="E88" s="2" t="n"/>
      <c r="F88" s="2" t="n"/>
      <c r="G88" s="2" t="n"/>
      <c r="H88" s="2" t="n"/>
      <c r="I88" s="2" t="n"/>
    </row>
    <row r="89">
      <c r="A89" s="2" t="inlineStr">
        <is>
          <t>지표2. 최종 판정</t>
        </is>
      </c>
      <c r="B89" s="27">
        <f>IF(NOT(ISNUMBER($B$87)),"입력 확인 필요",IF(N($B$86)&lt;=0,"원금 전액 분할상환 완료",IF(AND($B$87&gt;=$B$86*1.2,$B$106&gt;=$B$86),"✅ 상환 여유 충분",IF(AND($B$87&gt;=$B$86*1.2,$B$106&lt;$B$86),"⚠ 금액은 충분 — 성과급 의존 주의",IF($B$87&gt;=$B$86,"⚠ 상환 가능 (주의 요망)","❌ 상환 능력 부족 (증여 추정 위험)")))))</f>
        <v/>
      </c>
      <c r="C89" s="6" t="inlineStr">
        <is>
          <t>성과급 0% 시나리오(B106)까지 같이 보고 내린 판정</t>
        </is>
      </c>
      <c r="D89" s="2" t="n"/>
      <c r="E89" s="2" t="n"/>
      <c r="F89" s="2" t="n"/>
      <c r="G89" s="2" t="n"/>
      <c r="H89" s="2" t="n"/>
      <c r="I89" s="2" t="n"/>
    </row>
    <row r="90">
      <c r="A90" s="2" t="inlineStr">
        <is>
          <t>소득 대비 차입 배수</t>
        </is>
      </c>
      <c r="B90" s="28">
        <f>IFERROR($B$38/$B$62,"")</f>
        <v/>
      </c>
      <c r="C90" s="6" t="inlineStr">
        <is>
          <t>연 세후소득의 몇 배를 빌리는가</t>
        </is>
      </c>
      <c r="D90" s="2" t="n"/>
      <c r="E90" s="2" t="n"/>
      <c r="F90" s="2" t="n"/>
      <c r="G90" s="2" t="n"/>
      <c r="H90" s="2" t="n"/>
      <c r="I90" s="2" t="n"/>
    </row>
    <row r="91">
      <c r="A91" s="2" t="inlineStr">
        <is>
          <t>총부채 상환비율 (생활 DSR)</t>
        </is>
      </c>
      <c r="B91" s="29">
        <f>IFERROR(($B$63+$B$64)/$B$62,"")</f>
        <v/>
      </c>
      <c r="C91" s="6" t="inlineStr">
        <is>
          <t>세후소득 대비 부채상환 비중</t>
        </is>
      </c>
      <c r="D91" s="2" t="n"/>
      <c r="E91" s="2" t="n"/>
      <c r="F91" s="2" t="n"/>
      <c r="G91" s="2" t="n"/>
      <c r="H91" s="2" t="n"/>
      <c r="I91" s="2" t="n"/>
    </row>
    <row r="92">
      <c r="A92" s="2" t="inlineStr">
        <is>
          <t>월 기본급 기준 수지</t>
        </is>
      </c>
      <c r="B92" s="17">
        <f>$B$69</f>
        <v/>
      </c>
      <c r="C92" s="6" t="inlineStr">
        <is>
          <t>성과급 없이도 흑자여야 안전</t>
        </is>
      </c>
      <c r="D92" s="2" t="n"/>
      <c r="E92" s="2" t="n"/>
      <c r="F92" s="2" t="n"/>
      <c r="G92" s="2" t="n"/>
      <c r="H92" s="2" t="n"/>
      <c r="I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</row>
    <row r="94">
      <c r="A94" s="10" t="inlineStr">
        <is>
          <t>■ 10. 세무 리스크 진단  [자동]</t>
        </is>
      </c>
      <c r="B94" s="10" t="n"/>
      <c r="C94" s="10" t="n"/>
      <c r="D94" s="2" t="n"/>
      <c r="E94" s="2" t="n"/>
      <c r="F94" s="2" t="n"/>
      <c r="G94" s="2" t="n"/>
      <c r="H94" s="2" t="n"/>
      <c r="I94" s="2" t="n"/>
    </row>
    <row r="95">
      <c r="A95" s="2" t="inlineStr">
        <is>
          <t>법정 적정이자 (연)</t>
        </is>
      </c>
      <c r="B95" s="17">
        <f>ROUND($B$38*$B$47,0)</f>
        <v/>
      </c>
      <c r="C95" s="6" t="inlineStr">
        <is>
          <t>원금 × 4.6%</t>
        </is>
      </c>
      <c r="D95" s="2" t="n"/>
      <c r="E95" s="2" t="n"/>
      <c r="F95" s="2" t="n"/>
      <c r="G95" s="2" t="n"/>
      <c r="H95" s="2" t="n"/>
      <c r="I95" s="2" t="n"/>
    </row>
    <row r="96">
      <c r="A96" s="2" t="inlineStr">
        <is>
          <t>실제 약정이자 (연)</t>
        </is>
      </c>
      <c r="B96" s="17">
        <f>$B$64</f>
        <v/>
      </c>
      <c r="C96" s="2" t="n"/>
      <c r="D96" s="2" t="n"/>
      <c r="E96" s="2" t="n"/>
      <c r="F96" s="2" t="n"/>
      <c r="G96" s="2" t="n"/>
      <c r="H96" s="2" t="n"/>
      <c r="I96" s="2" t="n"/>
    </row>
    <row r="97">
      <c r="A97" s="2" t="inlineStr">
        <is>
          <t>무상대여 이익 (연)</t>
        </is>
      </c>
      <c r="B97" s="30">
        <f>MAX(0,$B$95-$B$96)</f>
        <v/>
      </c>
      <c r="C97" s="6" t="inlineStr">
        <is>
          <t>적정이자 − 약정이자</t>
        </is>
      </c>
      <c r="D97" s="2" t="n"/>
      <c r="E97" s="2" t="n"/>
      <c r="F97" s="2" t="n"/>
      <c r="G97" s="2" t="n"/>
      <c r="H97" s="2" t="n"/>
      <c r="I97" s="2" t="n"/>
    </row>
    <row r="98">
      <c r="A98" s="2" t="inlineStr">
        <is>
          <t>증여세 과세대상 여부</t>
        </is>
      </c>
      <c r="B98" s="31">
        <f>IF($B$97&gt;=$B$48,"❌ 과세 대상 — 이익 전액이 증여재산가액","✅ 비과세 (연 "&amp;TEXT($B$48,"#,##0")&amp;"원 미만)")</f>
        <v/>
      </c>
      <c r="C98" s="6" t="inlineStr">
        <is>
          <t>초과분이 아닌 전액 과세</t>
        </is>
      </c>
      <c r="D98" s="2" t="n"/>
      <c r="E98" s="2" t="n"/>
      <c r="F98" s="2" t="n"/>
      <c r="G98" s="2" t="n"/>
      <c r="H98" s="2" t="n"/>
      <c r="I98" s="2" t="n"/>
    </row>
    <row r="99">
      <c r="A99" s="2" t="inlineStr">
        <is>
          <t>무이자 시 안전 원금 한도</t>
        </is>
      </c>
      <c r="B99" s="17">
        <f>ROUND($B$48/$B$47,0)</f>
        <v/>
      </c>
      <c r="C99" s="6" t="inlineStr">
        <is>
          <t>1,000만 ÷ 4.6%</t>
        </is>
      </c>
      <c r="D99" s="2" t="n"/>
      <c r="E99" s="2" t="n"/>
      <c r="F99" s="2" t="n"/>
      <c r="G99" s="2" t="n"/>
      <c r="H99" s="2" t="n"/>
      <c r="I99" s="2" t="n"/>
    </row>
    <row r="100">
      <c r="A100" s="2" t="inlineStr">
        <is>
          <t>한도 대비 여유액</t>
        </is>
      </c>
      <c r="B100" s="30">
        <f>$B$99-$B$38</f>
        <v/>
      </c>
      <c r="C100" s="6" t="inlineStr">
        <is>
          <t>음수면 무이자 구조 불가</t>
        </is>
      </c>
      <c r="D100" s="2" t="n"/>
      <c r="E100" s="2" t="n"/>
      <c r="F100" s="2" t="n"/>
      <c r="G100" s="2" t="n"/>
      <c r="H100" s="2" t="n"/>
      <c r="I100" s="2" t="n"/>
    </row>
    <row r="101">
      <c r="A101" s="2" t="inlineStr">
        <is>
          <t>이자 원천징수 신고 의무</t>
        </is>
      </c>
      <c r="B101" s="32">
        <f>IF($B$41&gt;0,"있음 — 지급월의 다음 달 10일까지 원천세 신고·납부","없음 (무이자)")</f>
        <v/>
      </c>
      <c r="C101" s="6" t="inlineStr">
        <is>
          <t>신고 이력이 곧 차용 사실의 증거</t>
        </is>
      </c>
      <c r="D101" s="2" t="n"/>
      <c r="E101" s="2" t="n"/>
      <c r="F101" s="2" t="n"/>
      <c r="G101" s="2" t="n"/>
      <c r="H101" s="2" t="n"/>
      <c r="I101" s="2" t="n"/>
    </row>
    <row r="102" ht="130" customHeight="1">
      <c r="A102" s="2" t="inlineStr">
        <is>
          <t>지표3. 종합 코멘트</t>
        </is>
      </c>
      <c r="B102" s="33">
        <f>IF($B$97&gt;=$B$48,"⚠ 무상대여 이익 "&amp;TEXT($B$97,"#,##0")&amp;"원이 연 "&amp;TEXT($B$48,"#,##0")&amp;"원 기준 이상 → 초과분이 아닌 이익 전액이 증여재산가액으로 과세될 수 있음."&amp;CHAR(10),"")&amp;IF(AND($B$41=0,$B$38&gt;$B$99),"⚠ 무이자 차용 원금이 안전 한도 "&amp;TEXT($B$99,"#,##0")&amp;"원을 초과. 원금을 낮추거나 최소 이자를 약정할 것."&amp;CHAR(10),"")&amp;IF($B$92&lt;0,"⚠ 성과급을 제외한 기본급만으로는 월 "&amp;TEXT(ABS($B$92),"#,##0")&amp;"원 적자 → 상환 재원을 변동 성과급에 의존. 소명 시 가장 취약한 지점."&amp;CHAR(10),"")&amp;IF($B$41&gt;0,"ℹ 이자 지급 시 27.5%를 원천징수해 다음 달 10일까지 납부해야 차용 사실이 인정됨."&amp;CHAR(10),"")&amp;IF($B$42="만기 일시 상환","ℹ 만기 일시·무이자 구조는 증여 추정이 가장 강한 형태. 매년 일부라도 원금을 이체하면 소명력이 크게 올라감."&amp;CHAR(10),"")&amp;IF($B$90&gt;5,"⚠ 차용 원금이 연 세후소득의 "&amp;TEXT($B$90,"0.0")&amp;"배 → 통상 소명 강도가 높아지는 구간."&amp;CHAR(10),"")&amp;IF($B$91&gt;0.4,"⚠ 생활 DSR "&amp;TEXT($B$91,"0.0%")&amp;" → 기존 부채만으로 상환 여력이 크게 잠식됨."&amp;CHAR(10),"")</f>
        <v/>
      </c>
      <c r="C102" s="2" t="n"/>
      <c r="D102" s="2" t="n"/>
      <c r="E102" s="2" t="n"/>
      <c r="F102" s="2" t="n"/>
      <c r="G102" s="2" t="n"/>
      <c r="H102" s="2" t="n"/>
      <c r="I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</row>
    <row r="104">
      <c r="A104" s="10" t="inlineStr">
        <is>
          <t>■ 11. 성과급 민감도 분석  [자동]</t>
        </is>
      </c>
      <c r="B104" s="10" t="n"/>
      <c r="C104" s="10" t="n"/>
      <c r="D104" s="10" t="n"/>
      <c r="E104" s="2" t="n"/>
      <c r="F104" s="2" t="n"/>
      <c r="G104" s="2" t="n"/>
      <c r="H104" s="2" t="n"/>
      <c r="I104" s="2" t="n"/>
    </row>
    <row r="105">
      <c r="A105" s="34" t="inlineStr">
        <is>
          <t>성과급 반영률</t>
        </is>
      </c>
      <c r="B105" s="34" t="inlineStr">
        <is>
          <t>누적 잉여액</t>
        </is>
      </c>
      <c r="C105" s="34" t="inlineStr">
        <is>
          <t>버퍼율</t>
        </is>
      </c>
      <c r="D105" s="34" t="inlineStr">
        <is>
          <t>판정</t>
        </is>
      </c>
      <c r="E105" s="2" t="n"/>
      <c r="F105" s="2" t="n"/>
      <c r="G105" s="2" t="n"/>
      <c r="H105" s="2" t="n"/>
      <c r="I105" s="2" t="n"/>
    </row>
    <row r="106">
      <c r="A106" s="35" t="n">
        <v>0</v>
      </c>
      <c r="B106" s="22">
        <f>IF(NOT(ISNUMBER($B$87)),"",ROUND($B$87-($B$10-$A106)*ROUND($B$7*(1-$B$20),0)*IF($B$9=0,$B$40,((1+$B$9)^$B$40-1)/$B$9),0))</f>
        <v/>
      </c>
      <c r="C106" s="24">
        <f>IF(OR(NOT(ISNUMBER(B106)),$B$86=0),"-",B106/$B$86)</f>
        <v/>
      </c>
      <c r="D106" s="23">
        <f>IF(NOT(ISNUMBER(B106)),"",IF(B106&gt;=$B$86*1.2,"✅ 여유 충분",IF(B106&gt;=$B$86,"⚠ 가능(주의)","❌ 부족")))</f>
        <v/>
      </c>
      <c r="E106" s="2" t="n"/>
      <c r="F106" s="2" t="n"/>
      <c r="G106" s="2" t="n"/>
      <c r="H106" s="2" t="n"/>
      <c r="I106" s="2" t="n"/>
    </row>
    <row r="107">
      <c r="A107" s="35" t="n">
        <v>0.5</v>
      </c>
      <c r="B107" s="22">
        <f>IF(NOT(ISNUMBER($B$87)),"",ROUND($B$87-($B$10-$A107)*ROUND($B$7*(1-$B$20),0)*IF($B$9=0,$B$40,((1+$B$9)^$B$40-1)/$B$9),0))</f>
        <v/>
      </c>
      <c r="C107" s="24">
        <f>IF(OR(NOT(ISNUMBER(B107)),$B$86=0),"-",B107/$B$86)</f>
        <v/>
      </c>
      <c r="D107" s="23">
        <f>IF(NOT(ISNUMBER(B107)),"",IF(B107&gt;=$B$86*1.2,"✅ 여유 충분",IF(B107&gt;=$B$86,"⚠ 가능(주의)","❌ 부족")))</f>
        <v/>
      </c>
      <c r="E107" s="2" t="n"/>
      <c r="F107" s="2" t="n"/>
      <c r="G107" s="2" t="n"/>
      <c r="H107" s="2" t="n"/>
      <c r="I107" s="2" t="n"/>
    </row>
    <row r="108">
      <c r="A108" s="35" t="n">
        <v>1</v>
      </c>
      <c r="B108" s="22">
        <f>IF(NOT(ISNUMBER($B$87)),"",ROUND($B$87-($B$10-$A108)*ROUND($B$7*(1-$B$20),0)*IF($B$9=0,$B$40,((1+$B$9)^$B$40-1)/$B$9),0))</f>
        <v/>
      </c>
      <c r="C108" s="24">
        <f>IF(OR(NOT(ISNUMBER(B108)),$B$86=0),"-",B108/$B$86)</f>
        <v/>
      </c>
      <c r="D108" s="23">
        <f>IF(NOT(ISNUMBER(B108)),"",IF(B108&gt;=$B$86*1.2,"✅ 여유 충분",IF(B108&gt;=$B$86,"⚠ 가능(주의)","❌ 부족")))</f>
        <v/>
      </c>
      <c r="E108" s="2" t="n"/>
      <c r="F108" s="2" t="n"/>
      <c r="G108" s="2" t="n"/>
      <c r="H108" s="2" t="n"/>
      <c r="I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</row>
    <row r="110">
      <c r="A110" s="10" t="inlineStr">
        <is>
          <t>■ 12. 소명 실행 체크리스트  [수동 체크]</t>
        </is>
      </c>
      <c r="B110" s="10" t="n"/>
      <c r="C110" s="10" t="n"/>
      <c r="D110" s="2" t="n"/>
      <c r="E110" s="2" t="n"/>
      <c r="F110" s="2" t="n"/>
      <c r="G110" s="2" t="n"/>
      <c r="H110" s="2" t="n"/>
      <c r="I110" s="2" t="n"/>
    </row>
    <row r="111">
      <c r="A111" s="2" t="inlineStr">
        <is>
          <t>차용증(금전소비대차계약서) 작성</t>
        </is>
      </c>
      <c r="B111" s="36" t="inlineStr">
        <is>
          <t>☐</t>
        </is>
      </c>
      <c r="C111" s="6" t="inlineStr">
        <is>
          <t>원금·이자율·만기·상환방법·지연이자 명시</t>
        </is>
      </c>
      <c r="D111" s="2" t="n"/>
      <c r="E111" s="2" t="n"/>
      <c r="F111" s="2" t="n"/>
      <c r="G111" s="2" t="n"/>
      <c r="H111" s="2" t="n"/>
      <c r="I111" s="2" t="n"/>
    </row>
    <row r="112">
      <c r="A112" s="2" t="inlineStr">
        <is>
          <t>차용증에 확정일자 부여</t>
        </is>
      </c>
      <c r="B112" s="36" t="inlineStr">
        <is>
          <t>☐</t>
        </is>
      </c>
      <c r="C112" s="6" t="inlineStr">
        <is>
          <t>공증 또는 우체국 내용증명 — 사후 작성 의심 차단</t>
        </is>
      </c>
      <c r="D112" s="2" t="n"/>
      <c r="E112" s="2" t="n"/>
      <c r="F112" s="2" t="n"/>
      <c r="G112" s="2" t="n"/>
      <c r="H112" s="2" t="n"/>
      <c r="I112" s="2" t="n"/>
    </row>
    <row r="113">
      <c r="A113" s="2" t="inlineStr">
        <is>
          <t>대여금 전액을 계좌이체로 수령</t>
        </is>
      </c>
      <c r="B113" s="36" t="inlineStr">
        <is>
          <t>☐</t>
        </is>
      </c>
      <c r="C113" s="6" t="inlineStr">
        <is>
          <t>현금 수수는 절대 금지</t>
        </is>
      </c>
      <c r="D113" s="2" t="n"/>
      <c r="E113" s="2" t="n"/>
      <c r="F113" s="2" t="n"/>
      <c r="G113" s="2" t="n"/>
      <c r="H113" s="2" t="n"/>
      <c r="I113" s="2" t="n"/>
    </row>
    <row r="114">
      <c r="A114" s="2" t="inlineStr">
        <is>
          <t>상환은 차입자 본인 계좌 → 대여자 계좌</t>
        </is>
      </c>
      <c r="B114" s="36" t="inlineStr">
        <is>
          <t>☐</t>
        </is>
      </c>
      <c r="C114" s="6" t="inlineStr">
        <is>
          <t>제3자 계좌 경유 시 소명 불가</t>
        </is>
      </c>
      <c r="D114" s="2" t="n"/>
      <c r="E114" s="2" t="n"/>
      <c r="F114" s="2" t="n"/>
      <c r="G114" s="2" t="n"/>
      <c r="H114" s="2" t="n"/>
      <c r="I114" s="2" t="n"/>
    </row>
    <row r="115">
      <c r="A115" s="2" t="inlineStr">
        <is>
          <t>이자 지급 시 27.5% 원천징수 후 지급</t>
        </is>
      </c>
      <c r="B115" s="36" t="inlineStr">
        <is>
          <t>☐</t>
        </is>
      </c>
      <c r="C115" s="6" t="inlineStr">
        <is>
          <t>무이자면 해당 없음</t>
        </is>
      </c>
      <c r="D115" s="2" t="n"/>
      <c r="E115" s="2" t="n"/>
      <c r="F115" s="2" t="n"/>
      <c r="G115" s="2" t="n"/>
      <c r="H115" s="2" t="n"/>
      <c r="I115" s="2" t="n"/>
    </row>
    <row r="116">
      <c r="A116" s="2" t="inlineStr">
        <is>
          <t>원천징수이행상황신고서 제출</t>
        </is>
      </c>
      <c r="B116" s="36" t="inlineStr">
        <is>
          <t>☐</t>
        </is>
      </c>
      <c r="C116" s="6" t="inlineStr">
        <is>
          <t>지급월의 다음 달 10일까지</t>
        </is>
      </c>
      <c r="D116" s="2" t="n"/>
      <c r="E116" s="2" t="n"/>
      <c r="F116" s="2" t="n"/>
      <c r="G116" s="2" t="n"/>
      <c r="H116" s="2" t="n"/>
      <c r="I116" s="2" t="n"/>
    </row>
    <row r="117">
      <c r="A117" s="2" t="inlineStr">
        <is>
          <t>이자소득 지급명세서 제출</t>
        </is>
      </c>
      <c r="B117" s="36" t="inlineStr">
        <is>
          <t>☐</t>
        </is>
      </c>
      <c r="C117" s="6" t="inlineStr">
        <is>
          <t>다음 해 2월 말까지</t>
        </is>
      </c>
      <c r="D117" s="2" t="n"/>
      <c r="E117" s="2" t="n"/>
      <c r="F117" s="2" t="n"/>
      <c r="G117" s="2" t="n"/>
      <c r="H117" s="2" t="n"/>
      <c r="I117" s="2" t="n"/>
    </row>
    <row r="118">
      <c r="A118" s="2" t="inlineStr">
        <is>
          <t>매년 일부라도 원금 상환 이력 만들기</t>
        </is>
      </c>
      <c r="B118" s="36" t="inlineStr">
        <is>
          <t>☐</t>
        </is>
      </c>
      <c r="C118" s="6" t="inlineStr">
        <is>
          <t>만기 일시 구조의 최대 보완책</t>
        </is>
      </c>
      <c r="D118" s="2" t="n"/>
      <c r="E118" s="2" t="n"/>
      <c r="F118" s="2" t="n"/>
      <c r="G118" s="2" t="n"/>
      <c r="H118" s="2" t="n"/>
      <c r="I118" s="2" t="n"/>
    </row>
    <row r="119">
      <c r="A119" s="2" t="inlineStr">
        <is>
          <t>자금조달계획서에 차입금으로 기재</t>
        </is>
      </c>
      <c r="B119" s="36" t="inlineStr">
        <is>
          <t>☐</t>
        </is>
      </c>
      <c r="C119" s="6" t="inlineStr">
        <is>
          <t>주택 취득 시 차용증 첨부</t>
        </is>
      </c>
      <c r="D119" s="2" t="n"/>
      <c r="E119" s="2" t="n"/>
      <c r="F119" s="2" t="n"/>
      <c r="G119" s="2" t="n"/>
      <c r="H119" s="2" t="n"/>
      <c r="I119" s="2" t="n"/>
    </row>
    <row r="120">
      <c r="A120" s="2" t="inlineStr">
        <is>
          <t>대여자의 자금 원천 증빙 확보</t>
        </is>
      </c>
      <c r="B120" s="36" t="inlineStr">
        <is>
          <t>☐</t>
        </is>
      </c>
      <c r="C120" s="6" t="inlineStr">
        <is>
          <t>대여자도 자금출처를 소명해야 함</t>
        </is>
      </c>
      <c r="D120" s="2" t="n"/>
      <c r="E120" s="2" t="n"/>
      <c r="F120" s="2" t="n"/>
      <c r="G120" s="2" t="n"/>
      <c r="H120" s="2" t="n"/>
      <c r="I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</row>
    <row r="122">
      <c r="A122" s="37" t="inlineStr">
        <is>
          <t>※ 본 시트는 사전 점검용 추산입니다. 세율·요율은 고시값 변동에 따라 달라지고, 실제 과세 판단은 개별 사실관계에 좌우되므로 실행 전 세무대리인 확인을 권합니다.</t>
        </is>
      </c>
      <c r="B122" s="2" t="n"/>
      <c r="C122" s="2" t="n"/>
      <c r="D122" s="2" t="n"/>
      <c r="E122" s="2" t="n"/>
      <c r="F122" s="2" t="n"/>
      <c r="G122" s="2" t="n"/>
      <c r="H122" s="2" t="n"/>
      <c r="I122" s="2" t="n"/>
    </row>
  </sheetData>
  <mergeCells count="2">
    <mergeCell ref="A1:I1"/>
    <mergeCell ref="A122:I122"/>
  </mergeCells>
  <conditionalFormatting sqref="B89">
    <cfRule type="expression" priority="1" dxfId="0">
      <formula>LEFT(B89,1)="✅"</formula>
    </cfRule>
    <cfRule type="expression" priority="2" dxfId="1">
      <formula>LEFT(B89,1)="⚠"</formula>
    </cfRule>
    <cfRule type="expression" priority="3" dxfId="2">
      <formula>LEFT(B89,1)="❌"</formula>
    </cfRule>
  </conditionalFormatting>
  <conditionalFormatting sqref="D106:D108">
    <cfRule type="expression" priority="4" dxfId="0">
      <formula>LEFT(D106,1)="✅"</formula>
    </cfRule>
    <cfRule type="expression" priority="5" dxfId="1">
      <formula>LEFT(D106,1)="⚠"</formula>
    </cfRule>
    <cfRule type="expression" priority="6" dxfId="2">
      <formula>LEFT(D106,1)="❌"</formula>
    </cfRule>
  </conditionalFormatting>
  <conditionalFormatting sqref="B88">
    <cfRule type="cellIs" priority="7" operator="greaterThanOrEqual" dxfId="3">
      <formula>1.2</formula>
    </cfRule>
    <cfRule type="cellIs" priority="8" operator="lessThan" dxfId="4">
      <formula>1</formula>
    </cfRule>
  </conditionalFormatting>
  <conditionalFormatting sqref="C106:C108">
    <cfRule type="cellIs" priority="9" operator="greaterThanOrEqual" dxfId="3">
      <formula>1.2</formula>
    </cfRule>
    <cfRule type="cellIs" priority="10" operator="lessThan" dxfId="4">
      <formula>1</formula>
    </cfRule>
  </conditionalFormatting>
  <conditionalFormatting sqref="B68:B70">
    <cfRule type="cellIs" priority="11" operator="lessThan" dxfId="5">
      <formula>0</formula>
    </cfRule>
  </conditionalFormatting>
  <conditionalFormatting sqref="B92">
    <cfRule type="cellIs" priority="12" operator="lessThan" dxfId="5">
      <formula>0</formula>
    </cfRule>
  </conditionalFormatting>
  <conditionalFormatting sqref="B100">
    <cfRule type="cellIs" priority="13" operator="lessThan" dxfId="5">
      <formula>0</formula>
    </cfRule>
  </conditionalFormatting>
  <conditionalFormatting sqref="G74:H83">
    <cfRule type="cellIs" priority="14" operator="lessThan" dxfId="5">
      <formula>0</formula>
    </cfRule>
  </conditionalFormatting>
  <conditionalFormatting sqref="B98">
    <cfRule type="expression" priority="15" dxfId="2">
      <formula>ISNUMBER(SEARCH("과세 대상",B98))</formula>
    </cfRule>
  </conditionalFormatting>
  <conditionalFormatting sqref="I74:I83">
    <cfRule type="colorScale" priority="16">
      <colorScale>
        <cfvo type="num" val="0"/>
        <cfvo type="num" val="1"/>
        <cfvo type="num" val="1.2"/>
        <color rgb="00F8696B"/>
        <color rgb="00FFEB84"/>
        <color rgb="0063BE7B"/>
      </colorScale>
    </cfRule>
  </conditionalFormatting>
  <dataValidations count="5">
    <dataValidation sqref="B11" showDropDown="0" showInputMessage="0" showErrorMessage="0" allowBlank="0" type="list">
      <formula1>"포함,미포함"</formula1>
    </dataValidation>
    <dataValidation sqref="B42" showDropDown="0" showInputMessage="0" showErrorMessage="0" allowBlank="0" type="list">
      <formula1>"만기 일시 상환,원금 분할 상환"</formula1>
    </dataValidation>
    <dataValidation sqref="B111:B120" showDropDown="0" showInputMessage="0" showErrorMessage="0" allowBlank="0" type="list">
      <formula1>"☐,☑"</formula1>
    </dataValidation>
    <dataValidation sqref="B40" showDropDown="0" showInputMessage="0" showErrorMessage="0" allowBlank="0" error="1~10년 사이로 입력하세요. 10년 초과는 시뮬레이션 행을 추가해야 합니다." type="whole" operator="between">
      <formula1>1</formula1>
      <formula2>10</formula2>
    </dataValidation>
    <dataValidation sqref="B6 B7 B8 B23 B25 B27 B32 B33 B38 B43" showDropDown="0" showInputMessage="0" showErrorMessage="0" allowBlank="0" error="0 이상의 숫자를 입력하세요." type="decimal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2026-09-15T13:50:01Z</dcterms:created>
  <dcterms:modified xsi:type="dcterms:W3CDTF">2026-09-15T13:50:02Z</dcterms:modified>
</cp:coreProperties>
</file>